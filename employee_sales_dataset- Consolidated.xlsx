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d.docs.live.net/DBC68FE0AB4D6B41/Desktop/DATA CLEANING PORTFOLIO/EMPLOYEE SALES DATA SET/"/>
    </mc:Choice>
  </mc:AlternateContent>
  <xr:revisionPtr revIDLastSave="1547" documentId="8_{2FEDC12E-B7CA-4CDC-A3A4-FAE33A2BA342}" xr6:coauthVersionLast="47" xr6:coauthVersionMax="47" xr10:uidLastSave="{B9F0010B-10A7-4BEC-B88A-D4D953521FED}"/>
  <bookViews>
    <workbookView xWindow="-110" yWindow="-110" windowWidth="19420" windowHeight="10300" activeTab="1" xr2:uid="{00000000-000D-0000-FFFF-FFFF00000000}"/>
  </bookViews>
  <sheets>
    <sheet name="Raw Sales Data From Source" sheetId="11" r:id="rId1"/>
    <sheet name="CLEANED DATA" sheetId="1" r:id="rId2"/>
    <sheet name="PIVOT TABLES" sheetId="8" r:id="rId3"/>
    <sheet name="DASHBOARD" sheetId="9" r:id="rId4"/>
  </sheets>
  <definedNames>
    <definedName name="Name">Table1[Name]</definedName>
    <definedName name="salesreview">Table1[#All]</definedName>
    <definedName name="Slicer_Department">#N/A</definedName>
    <definedName name="Slicer_Employee_Total_Sales">#N/A</definedName>
    <definedName name="Slicer_Name">#N/A</definedName>
    <definedName name="Slicer_Region">#N/A</definedName>
    <definedName name="Slicer_Sales__Q1">#N/A</definedName>
    <definedName name="Slicer_Sales__Q2">#N/A</definedName>
    <definedName name="Slicer_Sales__Q3">#N/A</definedName>
    <definedName name="Slicer_Sales__Q4">#N/A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0" i="1" l="1"/>
  <c r="L240" i="1" s="1"/>
  <c r="M240" i="1" s="1"/>
  <c r="K90" i="1"/>
  <c r="L90" i="1" s="1"/>
  <c r="M90" i="1" s="1"/>
  <c r="K241" i="1"/>
  <c r="L241" i="1" s="1"/>
  <c r="M241" i="1" s="1"/>
  <c r="P9" i="1" a="1"/>
  <c r="O9" i="1" a="1"/>
  <c r="K384" i="1"/>
  <c r="L384" i="1" s="1"/>
  <c r="M384" i="1" s="1"/>
  <c r="K383" i="1"/>
  <c r="L383" i="1" s="1"/>
  <c r="M383" i="1" s="1"/>
  <c r="K78" i="1"/>
  <c r="L78" i="1" s="1"/>
  <c r="M78" i="1" s="1"/>
  <c r="K382" i="1"/>
  <c r="L382" i="1" s="1"/>
  <c r="M382" i="1" s="1"/>
  <c r="K381" i="1"/>
  <c r="L381" i="1" s="1"/>
  <c r="M381" i="1" s="1"/>
  <c r="K380" i="1"/>
  <c r="L380" i="1" s="1"/>
  <c r="M380" i="1" s="1"/>
  <c r="K379" i="1"/>
  <c r="L379" i="1" s="1"/>
  <c r="M379" i="1" s="1"/>
  <c r="K378" i="1"/>
  <c r="L378" i="1" s="1"/>
  <c r="M378" i="1" s="1"/>
  <c r="K377" i="1"/>
  <c r="L377" i="1" s="1"/>
  <c r="M377" i="1" s="1"/>
  <c r="K376" i="1"/>
  <c r="L376" i="1" s="1"/>
  <c r="M376" i="1" s="1"/>
  <c r="K375" i="1"/>
  <c r="L375" i="1" s="1"/>
  <c r="M375" i="1" s="1"/>
  <c r="K374" i="1"/>
  <c r="L374" i="1" s="1"/>
  <c r="M374" i="1" s="1"/>
  <c r="K373" i="1"/>
  <c r="L373" i="1" s="1"/>
  <c r="M373" i="1" s="1"/>
  <c r="K372" i="1"/>
  <c r="L372" i="1" s="1"/>
  <c r="M372" i="1" s="1"/>
  <c r="K371" i="1"/>
  <c r="L371" i="1" s="1"/>
  <c r="M371" i="1" s="1"/>
  <c r="K370" i="1"/>
  <c r="L370" i="1" s="1"/>
  <c r="M370" i="1" s="1"/>
  <c r="K369" i="1"/>
  <c r="L369" i="1" s="1"/>
  <c r="M369" i="1" s="1"/>
  <c r="K368" i="1"/>
  <c r="L368" i="1" s="1"/>
  <c r="M368" i="1" s="1"/>
  <c r="K367" i="1"/>
  <c r="L367" i="1" s="1"/>
  <c r="M367" i="1" s="1"/>
  <c r="K366" i="1"/>
  <c r="L366" i="1" s="1"/>
  <c r="M366" i="1" s="1"/>
  <c r="K365" i="1"/>
  <c r="L365" i="1" s="1"/>
  <c r="M365" i="1" s="1"/>
  <c r="K364" i="1"/>
  <c r="L364" i="1" s="1"/>
  <c r="M364" i="1" s="1"/>
  <c r="K363" i="1"/>
  <c r="L363" i="1" s="1"/>
  <c r="M363" i="1" s="1"/>
  <c r="K362" i="1"/>
  <c r="L362" i="1" s="1"/>
  <c r="M362" i="1" s="1"/>
  <c r="K361" i="1"/>
  <c r="L361" i="1" s="1"/>
  <c r="M361" i="1" s="1"/>
  <c r="K360" i="1"/>
  <c r="L360" i="1" s="1"/>
  <c r="M360" i="1" s="1"/>
  <c r="K359" i="1"/>
  <c r="L359" i="1" s="1"/>
  <c r="M359" i="1" s="1"/>
  <c r="K358" i="1"/>
  <c r="L358" i="1" s="1"/>
  <c r="M358" i="1" s="1"/>
  <c r="K357" i="1"/>
  <c r="L357" i="1" s="1"/>
  <c r="M357" i="1" s="1"/>
  <c r="K356" i="1"/>
  <c r="L356" i="1" s="1"/>
  <c r="M356" i="1" s="1"/>
  <c r="K355" i="1"/>
  <c r="L355" i="1" s="1"/>
  <c r="M355" i="1" s="1"/>
  <c r="K354" i="1"/>
  <c r="L354" i="1" s="1"/>
  <c r="M354" i="1" s="1"/>
  <c r="K353" i="1"/>
  <c r="L353" i="1" s="1"/>
  <c r="M353" i="1" s="1"/>
  <c r="K352" i="1"/>
  <c r="L352" i="1" s="1"/>
  <c r="M352" i="1" s="1"/>
  <c r="K351" i="1"/>
  <c r="L351" i="1" s="1"/>
  <c r="M351" i="1" s="1"/>
  <c r="K350" i="1"/>
  <c r="L350" i="1" s="1"/>
  <c r="M350" i="1" s="1"/>
  <c r="K349" i="1"/>
  <c r="L349" i="1" s="1"/>
  <c r="M349" i="1" s="1"/>
  <c r="K348" i="1"/>
  <c r="L348" i="1" s="1"/>
  <c r="M348" i="1" s="1"/>
  <c r="K347" i="1"/>
  <c r="L347" i="1" s="1"/>
  <c r="M347" i="1" s="1"/>
  <c r="K346" i="1"/>
  <c r="L346" i="1" s="1"/>
  <c r="M346" i="1" s="1"/>
  <c r="K345" i="1"/>
  <c r="L345" i="1" s="1"/>
  <c r="M345" i="1" s="1"/>
  <c r="K344" i="1"/>
  <c r="L344" i="1" s="1"/>
  <c r="M344" i="1" s="1"/>
  <c r="K343" i="1"/>
  <c r="L343" i="1" s="1"/>
  <c r="M343" i="1" s="1"/>
  <c r="K342" i="1"/>
  <c r="L342" i="1" s="1"/>
  <c r="M342" i="1" s="1"/>
  <c r="K341" i="1"/>
  <c r="L341" i="1" s="1"/>
  <c r="M341" i="1" s="1"/>
  <c r="K340" i="1"/>
  <c r="L340" i="1" s="1"/>
  <c r="M340" i="1" s="1"/>
  <c r="K339" i="1"/>
  <c r="L339" i="1" s="1"/>
  <c r="M339" i="1" s="1"/>
  <c r="K338" i="1"/>
  <c r="L338" i="1" s="1"/>
  <c r="M338" i="1" s="1"/>
  <c r="K337" i="1"/>
  <c r="L337" i="1" s="1"/>
  <c r="M337" i="1" s="1"/>
  <c r="K336" i="1"/>
  <c r="L336" i="1" s="1"/>
  <c r="M336" i="1" s="1"/>
  <c r="K335" i="1"/>
  <c r="L335" i="1" s="1"/>
  <c r="M335" i="1" s="1"/>
  <c r="K334" i="1"/>
  <c r="L334" i="1" s="1"/>
  <c r="M334" i="1" s="1"/>
  <c r="K333" i="1"/>
  <c r="L333" i="1" s="1"/>
  <c r="M333" i="1" s="1"/>
  <c r="K332" i="1"/>
  <c r="L332" i="1" s="1"/>
  <c r="M332" i="1" s="1"/>
  <c r="K331" i="1"/>
  <c r="L331" i="1" s="1"/>
  <c r="M331" i="1" s="1"/>
  <c r="K330" i="1"/>
  <c r="L330" i="1" s="1"/>
  <c r="M330" i="1" s="1"/>
  <c r="K329" i="1"/>
  <c r="L329" i="1" s="1"/>
  <c r="M329" i="1" s="1"/>
  <c r="K328" i="1"/>
  <c r="L328" i="1" s="1"/>
  <c r="M328" i="1" s="1"/>
  <c r="K327" i="1"/>
  <c r="L327" i="1" s="1"/>
  <c r="M327" i="1" s="1"/>
  <c r="K326" i="1"/>
  <c r="L326" i="1" s="1"/>
  <c r="M326" i="1" s="1"/>
  <c r="K325" i="1"/>
  <c r="L325" i="1" s="1"/>
  <c r="M325" i="1" s="1"/>
  <c r="K324" i="1"/>
  <c r="L324" i="1" s="1"/>
  <c r="M324" i="1" s="1"/>
  <c r="K323" i="1"/>
  <c r="L323" i="1" s="1"/>
  <c r="M323" i="1" s="1"/>
  <c r="K322" i="1"/>
  <c r="L322" i="1" s="1"/>
  <c r="M322" i="1" s="1"/>
  <c r="K321" i="1"/>
  <c r="L321" i="1" s="1"/>
  <c r="M321" i="1" s="1"/>
  <c r="K320" i="1"/>
  <c r="L320" i="1" s="1"/>
  <c r="M320" i="1" s="1"/>
  <c r="K319" i="1"/>
  <c r="L319" i="1" s="1"/>
  <c r="M319" i="1" s="1"/>
  <c r="K318" i="1"/>
  <c r="L318" i="1" s="1"/>
  <c r="M318" i="1" s="1"/>
  <c r="K317" i="1"/>
  <c r="L317" i="1" s="1"/>
  <c r="M317" i="1" s="1"/>
  <c r="K316" i="1"/>
  <c r="L316" i="1" s="1"/>
  <c r="M316" i="1" s="1"/>
  <c r="K315" i="1"/>
  <c r="L315" i="1" s="1"/>
  <c r="M315" i="1" s="1"/>
  <c r="K314" i="1"/>
  <c r="L314" i="1" s="1"/>
  <c r="M314" i="1" s="1"/>
  <c r="K313" i="1"/>
  <c r="L313" i="1" s="1"/>
  <c r="M313" i="1" s="1"/>
  <c r="K312" i="1"/>
  <c r="L312" i="1" s="1"/>
  <c r="M312" i="1" s="1"/>
  <c r="K311" i="1"/>
  <c r="L311" i="1" s="1"/>
  <c r="M311" i="1" s="1"/>
  <c r="K310" i="1"/>
  <c r="L310" i="1" s="1"/>
  <c r="M310" i="1" s="1"/>
  <c r="K309" i="1"/>
  <c r="L309" i="1" s="1"/>
  <c r="M309" i="1" s="1"/>
  <c r="K308" i="1"/>
  <c r="L308" i="1" s="1"/>
  <c r="M308" i="1" s="1"/>
  <c r="K307" i="1"/>
  <c r="L307" i="1" s="1"/>
  <c r="M307" i="1" s="1"/>
  <c r="K306" i="1"/>
  <c r="L306" i="1" s="1"/>
  <c r="M306" i="1" s="1"/>
  <c r="K305" i="1"/>
  <c r="L305" i="1" s="1"/>
  <c r="M305" i="1" s="1"/>
  <c r="K304" i="1"/>
  <c r="L304" i="1" s="1"/>
  <c r="M304" i="1" s="1"/>
  <c r="K303" i="1"/>
  <c r="L303" i="1" s="1"/>
  <c r="M303" i="1" s="1"/>
  <c r="K302" i="1"/>
  <c r="L302" i="1" s="1"/>
  <c r="M302" i="1" s="1"/>
  <c r="K301" i="1"/>
  <c r="L301" i="1" s="1"/>
  <c r="M301" i="1" s="1"/>
  <c r="K300" i="1"/>
  <c r="L300" i="1" s="1"/>
  <c r="M300" i="1" s="1"/>
  <c r="K299" i="1"/>
  <c r="L299" i="1" s="1"/>
  <c r="M299" i="1" s="1"/>
  <c r="K298" i="1"/>
  <c r="L298" i="1" s="1"/>
  <c r="M298" i="1" s="1"/>
  <c r="K297" i="1"/>
  <c r="L297" i="1" s="1"/>
  <c r="M297" i="1" s="1"/>
  <c r="K296" i="1"/>
  <c r="L296" i="1" s="1"/>
  <c r="M296" i="1" s="1"/>
  <c r="K295" i="1"/>
  <c r="L295" i="1" s="1"/>
  <c r="M295" i="1" s="1"/>
  <c r="K294" i="1"/>
  <c r="L294" i="1" s="1"/>
  <c r="M294" i="1" s="1"/>
  <c r="K293" i="1"/>
  <c r="L293" i="1" s="1"/>
  <c r="M293" i="1" s="1"/>
  <c r="K292" i="1"/>
  <c r="L292" i="1" s="1"/>
  <c r="M292" i="1" s="1"/>
  <c r="K291" i="1"/>
  <c r="L291" i="1" s="1"/>
  <c r="M291" i="1" s="1"/>
  <c r="K290" i="1"/>
  <c r="L290" i="1" s="1"/>
  <c r="M290" i="1" s="1"/>
  <c r="K289" i="1"/>
  <c r="L289" i="1" s="1"/>
  <c r="M289" i="1" s="1"/>
  <c r="K288" i="1"/>
  <c r="L288" i="1" s="1"/>
  <c r="M288" i="1" s="1"/>
  <c r="K287" i="1"/>
  <c r="L287" i="1" s="1"/>
  <c r="M287" i="1" s="1"/>
  <c r="K286" i="1"/>
  <c r="L286" i="1" s="1"/>
  <c r="M286" i="1" s="1"/>
  <c r="K285" i="1"/>
  <c r="L285" i="1" s="1"/>
  <c r="M285" i="1" s="1"/>
  <c r="K284" i="1"/>
  <c r="L284" i="1" s="1"/>
  <c r="M284" i="1" s="1"/>
  <c r="K283" i="1"/>
  <c r="L283" i="1" s="1"/>
  <c r="M283" i="1" s="1"/>
  <c r="K282" i="1"/>
  <c r="L282" i="1" s="1"/>
  <c r="M282" i="1" s="1"/>
  <c r="K281" i="1"/>
  <c r="L281" i="1" s="1"/>
  <c r="M281" i="1" s="1"/>
  <c r="K280" i="1"/>
  <c r="L280" i="1" s="1"/>
  <c r="M280" i="1" s="1"/>
  <c r="K279" i="1"/>
  <c r="L279" i="1" s="1"/>
  <c r="M279" i="1" s="1"/>
  <c r="K278" i="1"/>
  <c r="L278" i="1" s="1"/>
  <c r="M278" i="1" s="1"/>
  <c r="K277" i="1"/>
  <c r="L277" i="1" s="1"/>
  <c r="M277" i="1" s="1"/>
  <c r="K276" i="1"/>
  <c r="L276" i="1" s="1"/>
  <c r="M276" i="1" s="1"/>
  <c r="K275" i="1"/>
  <c r="L275" i="1" s="1"/>
  <c r="M275" i="1" s="1"/>
  <c r="K274" i="1"/>
  <c r="L274" i="1" s="1"/>
  <c r="M274" i="1" s="1"/>
  <c r="K273" i="1"/>
  <c r="L273" i="1" s="1"/>
  <c r="M273" i="1" s="1"/>
  <c r="K272" i="1"/>
  <c r="L272" i="1" s="1"/>
  <c r="M272" i="1" s="1"/>
  <c r="K271" i="1"/>
  <c r="L271" i="1" s="1"/>
  <c r="M271" i="1" s="1"/>
  <c r="K270" i="1"/>
  <c r="L270" i="1" s="1"/>
  <c r="M270" i="1" s="1"/>
  <c r="K269" i="1"/>
  <c r="L269" i="1" s="1"/>
  <c r="M269" i="1" s="1"/>
  <c r="K268" i="1"/>
  <c r="L268" i="1" s="1"/>
  <c r="M268" i="1" s="1"/>
  <c r="K267" i="1"/>
  <c r="L267" i="1" s="1"/>
  <c r="M267" i="1" s="1"/>
  <c r="K266" i="1"/>
  <c r="L266" i="1" s="1"/>
  <c r="M266" i="1" s="1"/>
  <c r="K265" i="1"/>
  <c r="L265" i="1" s="1"/>
  <c r="M265" i="1" s="1"/>
  <c r="K264" i="1"/>
  <c r="L264" i="1" s="1"/>
  <c r="M264" i="1" s="1"/>
  <c r="K263" i="1"/>
  <c r="L263" i="1" s="1"/>
  <c r="M263" i="1" s="1"/>
  <c r="K262" i="1"/>
  <c r="L262" i="1" s="1"/>
  <c r="M262" i="1" s="1"/>
  <c r="K261" i="1"/>
  <c r="L261" i="1" s="1"/>
  <c r="M261" i="1" s="1"/>
  <c r="K260" i="1"/>
  <c r="L260" i="1" s="1"/>
  <c r="M260" i="1" s="1"/>
  <c r="K259" i="1"/>
  <c r="L259" i="1" s="1"/>
  <c r="M259" i="1" s="1"/>
  <c r="K258" i="1"/>
  <c r="L258" i="1" s="1"/>
  <c r="M258" i="1" s="1"/>
  <c r="K257" i="1"/>
  <c r="L257" i="1" s="1"/>
  <c r="M257" i="1" s="1"/>
  <c r="K256" i="1"/>
  <c r="L256" i="1" s="1"/>
  <c r="M256" i="1" s="1"/>
  <c r="K255" i="1"/>
  <c r="L255" i="1" s="1"/>
  <c r="M255" i="1" s="1"/>
  <c r="K254" i="1"/>
  <c r="L254" i="1" s="1"/>
  <c r="M254" i="1" s="1"/>
  <c r="K253" i="1"/>
  <c r="L253" i="1" s="1"/>
  <c r="M253" i="1" s="1"/>
  <c r="K252" i="1"/>
  <c r="L252" i="1" s="1"/>
  <c r="M252" i="1" s="1"/>
  <c r="K251" i="1"/>
  <c r="L251" i="1" s="1"/>
  <c r="M251" i="1" s="1"/>
  <c r="K250" i="1"/>
  <c r="L250" i="1" s="1"/>
  <c r="M250" i="1" s="1"/>
  <c r="K249" i="1"/>
  <c r="L249" i="1" s="1"/>
  <c r="M249" i="1" s="1"/>
  <c r="K248" i="1"/>
  <c r="L248" i="1" s="1"/>
  <c r="M248" i="1" s="1"/>
  <c r="K247" i="1"/>
  <c r="L247" i="1" s="1"/>
  <c r="M247" i="1" s="1"/>
  <c r="K246" i="1"/>
  <c r="L246" i="1" s="1"/>
  <c r="M246" i="1" s="1"/>
  <c r="K245" i="1"/>
  <c r="L245" i="1" s="1"/>
  <c r="M245" i="1" s="1"/>
  <c r="K244" i="1"/>
  <c r="L244" i="1" s="1"/>
  <c r="M244" i="1" s="1"/>
  <c r="K243" i="1"/>
  <c r="L243" i="1" s="1"/>
  <c r="M243" i="1" s="1"/>
  <c r="K242" i="1"/>
  <c r="L242" i="1" s="1"/>
  <c r="M242" i="1" s="1"/>
  <c r="K501" i="1"/>
  <c r="L501" i="1" s="1"/>
  <c r="M501" i="1" s="1"/>
  <c r="K500" i="1"/>
  <c r="L500" i="1" s="1"/>
  <c r="M500" i="1" s="1"/>
  <c r="K499" i="1"/>
  <c r="L499" i="1" s="1"/>
  <c r="M499" i="1" s="1"/>
  <c r="K498" i="1"/>
  <c r="L498" i="1" s="1"/>
  <c r="M498" i="1" s="1"/>
  <c r="K497" i="1"/>
  <c r="L497" i="1" s="1"/>
  <c r="M497" i="1" s="1"/>
  <c r="K496" i="1"/>
  <c r="L496" i="1" s="1"/>
  <c r="M496" i="1" s="1"/>
  <c r="K495" i="1"/>
  <c r="L495" i="1" s="1"/>
  <c r="M495" i="1" s="1"/>
  <c r="K494" i="1"/>
  <c r="L494" i="1" s="1"/>
  <c r="M494" i="1" s="1"/>
  <c r="K493" i="1"/>
  <c r="L493" i="1" s="1"/>
  <c r="M493" i="1" s="1"/>
  <c r="K492" i="1"/>
  <c r="L492" i="1" s="1"/>
  <c r="M492" i="1" s="1"/>
  <c r="K491" i="1"/>
  <c r="L491" i="1" s="1"/>
  <c r="M491" i="1" s="1"/>
  <c r="K490" i="1"/>
  <c r="L490" i="1" s="1"/>
  <c r="M490" i="1" s="1"/>
  <c r="K489" i="1"/>
  <c r="L489" i="1" s="1"/>
  <c r="M489" i="1" s="1"/>
  <c r="K488" i="1"/>
  <c r="L488" i="1" s="1"/>
  <c r="M488" i="1" s="1"/>
  <c r="K487" i="1"/>
  <c r="L487" i="1" s="1"/>
  <c r="M487" i="1" s="1"/>
  <c r="K486" i="1"/>
  <c r="L486" i="1" s="1"/>
  <c r="M486" i="1" s="1"/>
  <c r="K485" i="1"/>
  <c r="L485" i="1" s="1"/>
  <c r="M485" i="1" s="1"/>
  <c r="K484" i="1"/>
  <c r="L484" i="1" s="1"/>
  <c r="M484" i="1" s="1"/>
  <c r="K483" i="1"/>
  <c r="L483" i="1" s="1"/>
  <c r="M483" i="1" s="1"/>
  <c r="K482" i="1"/>
  <c r="L482" i="1" s="1"/>
  <c r="M482" i="1" s="1"/>
  <c r="K481" i="1"/>
  <c r="L481" i="1" s="1"/>
  <c r="M481" i="1" s="1"/>
  <c r="K480" i="1"/>
  <c r="L480" i="1" s="1"/>
  <c r="M480" i="1" s="1"/>
  <c r="K479" i="1"/>
  <c r="L479" i="1" s="1"/>
  <c r="M479" i="1" s="1"/>
  <c r="K478" i="1"/>
  <c r="L478" i="1" s="1"/>
  <c r="M478" i="1" s="1"/>
  <c r="K477" i="1"/>
  <c r="L477" i="1" s="1"/>
  <c r="M477" i="1" s="1"/>
  <c r="K476" i="1"/>
  <c r="L476" i="1" s="1"/>
  <c r="M476" i="1" s="1"/>
  <c r="K475" i="1"/>
  <c r="L475" i="1" s="1"/>
  <c r="M475" i="1" s="1"/>
  <c r="K474" i="1"/>
  <c r="L474" i="1" s="1"/>
  <c r="M474" i="1" s="1"/>
  <c r="K473" i="1"/>
  <c r="L473" i="1" s="1"/>
  <c r="M473" i="1" s="1"/>
  <c r="K472" i="1"/>
  <c r="L472" i="1" s="1"/>
  <c r="M472" i="1" s="1"/>
  <c r="K471" i="1"/>
  <c r="L471" i="1" s="1"/>
  <c r="M471" i="1" s="1"/>
  <c r="K470" i="1"/>
  <c r="L470" i="1" s="1"/>
  <c r="M470" i="1" s="1"/>
  <c r="K469" i="1"/>
  <c r="L469" i="1" s="1"/>
  <c r="M469" i="1" s="1"/>
  <c r="K468" i="1"/>
  <c r="L468" i="1" s="1"/>
  <c r="M468" i="1" s="1"/>
  <c r="K467" i="1"/>
  <c r="L467" i="1" s="1"/>
  <c r="M467" i="1" s="1"/>
  <c r="K466" i="1"/>
  <c r="L466" i="1" s="1"/>
  <c r="M466" i="1" s="1"/>
  <c r="K465" i="1"/>
  <c r="L465" i="1" s="1"/>
  <c r="M465" i="1" s="1"/>
  <c r="K464" i="1"/>
  <c r="L464" i="1" s="1"/>
  <c r="M464" i="1" s="1"/>
  <c r="K463" i="1"/>
  <c r="L463" i="1" s="1"/>
  <c r="M463" i="1" s="1"/>
  <c r="K462" i="1"/>
  <c r="L462" i="1" s="1"/>
  <c r="M462" i="1" s="1"/>
  <c r="K461" i="1"/>
  <c r="L461" i="1" s="1"/>
  <c r="M461" i="1" s="1"/>
  <c r="K460" i="1"/>
  <c r="L460" i="1" s="1"/>
  <c r="M460" i="1" s="1"/>
  <c r="K459" i="1"/>
  <c r="L459" i="1" s="1"/>
  <c r="M459" i="1" s="1"/>
  <c r="K458" i="1"/>
  <c r="L458" i="1" s="1"/>
  <c r="M458" i="1" s="1"/>
  <c r="K457" i="1"/>
  <c r="L457" i="1" s="1"/>
  <c r="M457" i="1" s="1"/>
  <c r="K456" i="1"/>
  <c r="L456" i="1" s="1"/>
  <c r="M456" i="1" s="1"/>
  <c r="K455" i="1"/>
  <c r="L455" i="1" s="1"/>
  <c r="M455" i="1" s="1"/>
  <c r="K454" i="1"/>
  <c r="L454" i="1" s="1"/>
  <c r="M454" i="1" s="1"/>
  <c r="K453" i="1"/>
  <c r="L453" i="1" s="1"/>
  <c r="M453" i="1" s="1"/>
  <c r="K452" i="1"/>
  <c r="L452" i="1" s="1"/>
  <c r="M452" i="1" s="1"/>
  <c r="K451" i="1"/>
  <c r="L451" i="1" s="1"/>
  <c r="M451" i="1" s="1"/>
  <c r="K450" i="1"/>
  <c r="L450" i="1" s="1"/>
  <c r="M450" i="1" s="1"/>
  <c r="K449" i="1"/>
  <c r="L449" i="1" s="1"/>
  <c r="M449" i="1" s="1"/>
  <c r="K448" i="1"/>
  <c r="L448" i="1" s="1"/>
  <c r="M448" i="1" s="1"/>
  <c r="K447" i="1"/>
  <c r="L447" i="1" s="1"/>
  <c r="M447" i="1" s="1"/>
  <c r="K446" i="1"/>
  <c r="L446" i="1" s="1"/>
  <c r="M446" i="1" s="1"/>
  <c r="K445" i="1"/>
  <c r="L445" i="1" s="1"/>
  <c r="M445" i="1" s="1"/>
  <c r="K444" i="1"/>
  <c r="L444" i="1" s="1"/>
  <c r="M444" i="1" s="1"/>
  <c r="K443" i="1"/>
  <c r="L443" i="1" s="1"/>
  <c r="M443" i="1" s="1"/>
  <c r="K442" i="1"/>
  <c r="L442" i="1" s="1"/>
  <c r="M442" i="1" s="1"/>
  <c r="K441" i="1"/>
  <c r="L441" i="1" s="1"/>
  <c r="M441" i="1" s="1"/>
  <c r="K440" i="1"/>
  <c r="L440" i="1" s="1"/>
  <c r="M440" i="1" s="1"/>
  <c r="K439" i="1"/>
  <c r="L439" i="1" s="1"/>
  <c r="M439" i="1" s="1"/>
  <c r="K438" i="1"/>
  <c r="L438" i="1" s="1"/>
  <c r="M438" i="1" s="1"/>
  <c r="K437" i="1"/>
  <c r="L437" i="1" s="1"/>
  <c r="M437" i="1" s="1"/>
  <c r="K436" i="1"/>
  <c r="L436" i="1" s="1"/>
  <c r="M436" i="1" s="1"/>
  <c r="K435" i="1"/>
  <c r="L435" i="1" s="1"/>
  <c r="M435" i="1" s="1"/>
  <c r="K434" i="1"/>
  <c r="L434" i="1" s="1"/>
  <c r="M434" i="1" s="1"/>
  <c r="K433" i="1"/>
  <c r="L433" i="1" s="1"/>
  <c r="M433" i="1" s="1"/>
  <c r="K432" i="1"/>
  <c r="L432" i="1" s="1"/>
  <c r="M432" i="1" s="1"/>
  <c r="K431" i="1"/>
  <c r="L431" i="1" s="1"/>
  <c r="M431" i="1" s="1"/>
  <c r="K430" i="1"/>
  <c r="L430" i="1" s="1"/>
  <c r="M430" i="1" s="1"/>
  <c r="K429" i="1"/>
  <c r="L429" i="1" s="1"/>
  <c r="M429" i="1" s="1"/>
  <c r="K428" i="1"/>
  <c r="L428" i="1" s="1"/>
  <c r="M428" i="1" s="1"/>
  <c r="K427" i="1"/>
  <c r="L427" i="1" s="1"/>
  <c r="M427" i="1" s="1"/>
  <c r="K426" i="1"/>
  <c r="L426" i="1" s="1"/>
  <c r="M426" i="1" s="1"/>
  <c r="K425" i="1"/>
  <c r="L425" i="1" s="1"/>
  <c r="M425" i="1" s="1"/>
  <c r="K424" i="1"/>
  <c r="L424" i="1" s="1"/>
  <c r="M424" i="1" s="1"/>
  <c r="K423" i="1"/>
  <c r="L423" i="1" s="1"/>
  <c r="M423" i="1" s="1"/>
  <c r="K422" i="1"/>
  <c r="L422" i="1" s="1"/>
  <c r="M422" i="1" s="1"/>
  <c r="K421" i="1"/>
  <c r="L421" i="1" s="1"/>
  <c r="M421" i="1" s="1"/>
  <c r="K420" i="1"/>
  <c r="L420" i="1" s="1"/>
  <c r="M420" i="1" s="1"/>
  <c r="K419" i="1"/>
  <c r="L419" i="1" s="1"/>
  <c r="M419" i="1" s="1"/>
  <c r="K418" i="1"/>
  <c r="L418" i="1" s="1"/>
  <c r="M418" i="1" s="1"/>
  <c r="K417" i="1"/>
  <c r="L417" i="1" s="1"/>
  <c r="M417" i="1" s="1"/>
  <c r="K415" i="1"/>
  <c r="L415" i="1" s="1"/>
  <c r="M415" i="1" s="1"/>
  <c r="K414" i="1"/>
  <c r="L414" i="1" s="1"/>
  <c r="M414" i="1" s="1"/>
  <c r="K413" i="1"/>
  <c r="L413" i="1" s="1"/>
  <c r="M413" i="1" s="1"/>
  <c r="K412" i="1"/>
  <c r="L412" i="1" s="1"/>
  <c r="M412" i="1" s="1"/>
  <c r="K411" i="1"/>
  <c r="L411" i="1" s="1"/>
  <c r="M411" i="1" s="1"/>
  <c r="K410" i="1"/>
  <c r="L410" i="1" s="1"/>
  <c r="M410" i="1" s="1"/>
  <c r="K409" i="1"/>
  <c r="L409" i="1" s="1"/>
  <c r="M409" i="1" s="1"/>
  <c r="K408" i="1"/>
  <c r="L408" i="1" s="1"/>
  <c r="M408" i="1" s="1"/>
  <c r="K407" i="1"/>
  <c r="L407" i="1" s="1"/>
  <c r="M407" i="1" s="1"/>
  <c r="K406" i="1"/>
  <c r="L406" i="1" s="1"/>
  <c r="M406" i="1" s="1"/>
  <c r="K405" i="1"/>
  <c r="L405" i="1" s="1"/>
  <c r="M405" i="1" s="1"/>
  <c r="K404" i="1"/>
  <c r="L404" i="1" s="1"/>
  <c r="M404" i="1" s="1"/>
  <c r="K403" i="1"/>
  <c r="L403" i="1" s="1"/>
  <c r="M403" i="1" s="1"/>
  <c r="K402" i="1"/>
  <c r="L402" i="1" s="1"/>
  <c r="M402" i="1" s="1"/>
  <c r="K401" i="1"/>
  <c r="L401" i="1" s="1"/>
  <c r="M401" i="1" s="1"/>
  <c r="K400" i="1"/>
  <c r="L400" i="1" s="1"/>
  <c r="M400" i="1" s="1"/>
  <c r="K399" i="1"/>
  <c r="L399" i="1" s="1"/>
  <c r="M399" i="1" s="1"/>
  <c r="K398" i="1"/>
  <c r="L398" i="1" s="1"/>
  <c r="M398" i="1" s="1"/>
  <c r="K397" i="1"/>
  <c r="L397" i="1" s="1"/>
  <c r="M397" i="1" s="1"/>
  <c r="K396" i="1"/>
  <c r="L396" i="1" s="1"/>
  <c r="M396" i="1" s="1"/>
  <c r="K395" i="1"/>
  <c r="L395" i="1" s="1"/>
  <c r="M395" i="1" s="1"/>
  <c r="K394" i="1"/>
  <c r="L394" i="1" s="1"/>
  <c r="M394" i="1" s="1"/>
  <c r="K393" i="1"/>
  <c r="L393" i="1" s="1"/>
  <c r="M393" i="1" s="1"/>
  <c r="K392" i="1"/>
  <c r="L392" i="1" s="1"/>
  <c r="M392" i="1" s="1"/>
  <c r="K391" i="1"/>
  <c r="L391" i="1" s="1"/>
  <c r="M391" i="1" s="1"/>
  <c r="K390" i="1"/>
  <c r="L390" i="1" s="1"/>
  <c r="M390" i="1" s="1"/>
  <c r="K389" i="1"/>
  <c r="L389" i="1" s="1"/>
  <c r="M389" i="1" s="1"/>
  <c r="K388" i="1"/>
  <c r="L388" i="1" s="1"/>
  <c r="M388" i="1" s="1"/>
  <c r="K387" i="1"/>
  <c r="L387" i="1" s="1"/>
  <c r="M387" i="1" s="1"/>
  <c r="K386" i="1"/>
  <c r="L386" i="1" s="1"/>
  <c r="M386" i="1" s="1"/>
  <c r="K385" i="1"/>
  <c r="L385" i="1" s="1"/>
  <c r="M385" i="1" s="1"/>
  <c r="K239" i="1"/>
  <c r="L239" i="1" s="1"/>
  <c r="M239" i="1" s="1"/>
  <c r="K238" i="1"/>
  <c r="L238" i="1" s="1"/>
  <c r="M238" i="1" s="1"/>
  <c r="K237" i="1"/>
  <c r="L237" i="1" s="1"/>
  <c r="M237" i="1" s="1"/>
  <c r="K236" i="1"/>
  <c r="L236" i="1" s="1"/>
  <c r="M236" i="1" s="1"/>
  <c r="K235" i="1"/>
  <c r="L235" i="1" s="1"/>
  <c r="M235" i="1" s="1"/>
  <c r="K234" i="1"/>
  <c r="L234" i="1" s="1"/>
  <c r="M234" i="1" s="1"/>
  <c r="K233" i="1"/>
  <c r="L233" i="1" s="1"/>
  <c r="M233" i="1" s="1"/>
  <c r="K232" i="1"/>
  <c r="L232" i="1" s="1"/>
  <c r="M232" i="1" s="1"/>
  <c r="K231" i="1"/>
  <c r="L231" i="1" s="1"/>
  <c r="M231" i="1" s="1"/>
  <c r="K230" i="1"/>
  <c r="L230" i="1" s="1"/>
  <c r="M230" i="1" s="1"/>
  <c r="K229" i="1"/>
  <c r="L229" i="1" s="1"/>
  <c r="M229" i="1" s="1"/>
  <c r="K228" i="1"/>
  <c r="L228" i="1" s="1"/>
  <c r="M228" i="1" s="1"/>
  <c r="K227" i="1"/>
  <c r="L227" i="1" s="1"/>
  <c r="M227" i="1" s="1"/>
  <c r="K226" i="1"/>
  <c r="L226" i="1" s="1"/>
  <c r="M226" i="1" s="1"/>
  <c r="K225" i="1"/>
  <c r="L225" i="1" s="1"/>
  <c r="M225" i="1" s="1"/>
  <c r="K224" i="1"/>
  <c r="L224" i="1" s="1"/>
  <c r="M224" i="1" s="1"/>
  <c r="K223" i="1"/>
  <c r="L223" i="1" s="1"/>
  <c r="M223" i="1" s="1"/>
  <c r="K222" i="1"/>
  <c r="L222" i="1" s="1"/>
  <c r="M222" i="1" s="1"/>
  <c r="K221" i="1"/>
  <c r="L221" i="1" s="1"/>
  <c r="M221" i="1" s="1"/>
  <c r="K220" i="1"/>
  <c r="L220" i="1" s="1"/>
  <c r="M220" i="1" s="1"/>
  <c r="K219" i="1"/>
  <c r="L219" i="1" s="1"/>
  <c r="M219" i="1" s="1"/>
  <c r="K218" i="1"/>
  <c r="L218" i="1" s="1"/>
  <c r="M218" i="1" s="1"/>
  <c r="K217" i="1"/>
  <c r="L217" i="1" s="1"/>
  <c r="M217" i="1" s="1"/>
  <c r="K216" i="1"/>
  <c r="L216" i="1" s="1"/>
  <c r="M216" i="1" s="1"/>
  <c r="K215" i="1"/>
  <c r="L215" i="1" s="1"/>
  <c r="M215" i="1" s="1"/>
  <c r="K214" i="1"/>
  <c r="L214" i="1" s="1"/>
  <c r="M214" i="1" s="1"/>
  <c r="K213" i="1"/>
  <c r="L213" i="1" s="1"/>
  <c r="M213" i="1" s="1"/>
  <c r="K212" i="1"/>
  <c r="L212" i="1" s="1"/>
  <c r="M212" i="1" s="1"/>
  <c r="K211" i="1"/>
  <c r="L211" i="1" s="1"/>
  <c r="M211" i="1" s="1"/>
  <c r="K210" i="1"/>
  <c r="L210" i="1" s="1"/>
  <c r="M210" i="1" s="1"/>
  <c r="K209" i="1"/>
  <c r="L209" i="1" s="1"/>
  <c r="M209" i="1" s="1"/>
  <c r="K208" i="1"/>
  <c r="L208" i="1" s="1"/>
  <c r="M208" i="1" s="1"/>
  <c r="K207" i="1"/>
  <c r="L207" i="1" s="1"/>
  <c r="M207" i="1" s="1"/>
  <c r="K206" i="1"/>
  <c r="L206" i="1" s="1"/>
  <c r="M206" i="1" s="1"/>
  <c r="K205" i="1"/>
  <c r="L205" i="1" s="1"/>
  <c r="M205" i="1" s="1"/>
  <c r="K204" i="1"/>
  <c r="L204" i="1" s="1"/>
  <c r="M204" i="1" s="1"/>
  <c r="K203" i="1"/>
  <c r="L203" i="1" s="1"/>
  <c r="M203" i="1" s="1"/>
  <c r="K202" i="1"/>
  <c r="L202" i="1" s="1"/>
  <c r="M202" i="1" s="1"/>
  <c r="K201" i="1"/>
  <c r="L201" i="1" s="1"/>
  <c r="M201" i="1" s="1"/>
  <c r="K200" i="1"/>
  <c r="L200" i="1" s="1"/>
  <c r="M200" i="1" s="1"/>
  <c r="K199" i="1"/>
  <c r="L199" i="1" s="1"/>
  <c r="M199" i="1" s="1"/>
  <c r="K198" i="1"/>
  <c r="L198" i="1" s="1"/>
  <c r="M198" i="1" s="1"/>
  <c r="K197" i="1"/>
  <c r="L197" i="1" s="1"/>
  <c r="M197" i="1" s="1"/>
  <c r="K196" i="1"/>
  <c r="L196" i="1" s="1"/>
  <c r="M196" i="1" s="1"/>
  <c r="K195" i="1"/>
  <c r="L195" i="1" s="1"/>
  <c r="M195" i="1" s="1"/>
  <c r="K194" i="1"/>
  <c r="L194" i="1" s="1"/>
  <c r="M194" i="1" s="1"/>
  <c r="K193" i="1"/>
  <c r="L193" i="1" s="1"/>
  <c r="M193" i="1" s="1"/>
  <c r="K192" i="1"/>
  <c r="L192" i="1" s="1"/>
  <c r="M192" i="1" s="1"/>
  <c r="K191" i="1"/>
  <c r="L191" i="1" s="1"/>
  <c r="M191" i="1" s="1"/>
  <c r="K190" i="1"/>
  <c r="L190" i="1" s="1"/>
  <c r="M190" i="1" s="1"/>
  <c r="K189" i="1"/>
  <c r="L189" i="1" s="1"/>
  <c r="M189" i="1" s="1"/>
  <c r="K188" i="1"/>
  <c r="L188" i="1" s="1"/>
  <c r="M188" i="1" s="1"/>
  <c r="K187" i="1"/>
  <c r="L187" i="1" s="1"/>
  <c r="M187" i="1" s="1"/>
  <c r="K186" i="1"/>
  <c r="L186" i="1" s="1"/>
  <c r="M186" i="1" s="1"/>
  <c r="K185" i="1"/>
  <c r="L185" i="1" s="1"/>
  <c r="M185" i="1" s="1"/>
  <c r="K184" i="1"/>
  <c r="L184" i="1" s="1"/>
  <c r="M184" i="1" s="1"/>
  <c r="K183" i="1"/>
  <c r="L183" i="1" s="1"/>
  <c r="M183" i="1" s="1"/>
  <c r="K182" i="1"/>
  <c r="L182" i="1" s="1"/>
  <c r="M182" i="1" s="1"/>
  <c r="K181" i="1"/>
  <c r="L181" i="1" s="1"/>
  <c r="M181" i="1" s="1"/>
  <c r="K180" i="1"/>
  <c r="L180" i="1" s="1"/>
  <c r="M180" i="1" s="1"/>
  <c r="K179" i="1"/>
  <c r="L179" i="1" s="1"/>
  <c r="M179" i="1" s="1"/>
  <c r="K178" i="1"/>
  <c r="L178" i="1" s="1"/>
  <c r="M178" i="1" s="1"/>
  <c r="K177" i="1"/>
  <c r="L177" i="1" s="1"/>
  <c r="M177" i="1" s="1"/>
  <c r="K176" i="1"/>
  <c r="L176" i="1" s="1"/>
  <c r="M176" i="1" s="1"/>
  <c r="K175" i="1"/>
  <c r="L175" i="1" s="1"/>
  <c r="M175" i="1" s="1"/>
  <c r="K174" i="1"/>
  <c r="L174" i="1" s="1"/>
  <c r="M174" i="1" s="1"/>
  <c r="K173" i="1"/>
  <c r="L173" i="1" s="1"/>
  <c r="M173" i="1" s="1"/>
  <c r="K172" i="1"/>
  <c r="L172" i="1" s="1"/>
  <c r="M172" i="1" s="1"/>
  <c r="K171" i="1"/>
  <c r="L171" i="1" s="1"/>
  <c r="M171" i="1" s="1"/>
  <c r="K170" i="1"/>
  <c r="L170" i="1" s="1"/>
  <c r="M170" i="1" s="1"/>
  <c r="K169" i="1"/>
  <c r="L169" i="1" s="1"/>
  <c r="M169" i="1" s="1"/>
  <c r="K168" i="1"/>
  <c r="L168" i="1" s="1"/>
  <c r="M168" i="1" s="1"/>
  <c r="K167" i="1"/>
  <c r="L167" i="1" s="1"/>
  <c r="M167" i="1" s="1"/>
  <c r="K166" i="1"/>
  <c r="L166" i="1" s="1"/>
  <c r="M166" i="1" s="1"/>
  <c r="K165" i="1"/>
  <c r="L165" i="1" s="1"/>
  <c r="M165" i="1" s="1"/>
  <c r="K164" i="1"/>
  <c r="L164" i="1" s="1"/>
  <c r="M164" i="1" s="1"/>
  <c r="K163" i="1"/>
  <c r="L163" i="1" s="1"/>
  <c r="M163" i="1" s="1"/>
  <c r="K162" i="1"/>
  <c r="L162" i="1" s="1"/>
  <c r="M162" i="1" s="1"/>
  <c r="K161" i="1"/>
  <c r="L161" i="1" s="1"/>
  <c r="M161" i="1" s="1"/>
  <c r="K160" i="1"/>
  <c r="L160" i="1" s="1"/>
  <c r="M160" i="1" s="1"/>
  <c r="K159" i="1"/>
  <c r="L159" i="1" s="1"/>
  <c r="M159" i="1" s="1"/>
  <c r="K158" i="1"/>
  <c r="L158" i="1" s="1"/>
  <c r="M158" i="1" s="1"/>
  <c r="K157" i="1"/>
  <c r="L157" i="1" s="1"/>
  <c r="M157" i="1" s="1"/>
  <c r="K156" i="1"/>
  <c r="L156" i="1" s="1"/>
  <c r="M156" i="1" s="1"/>
  <c r="K155" i="1"/>
  <c r="L155" i="1" s="1"/>
  <c r="M155" i="1" s="1"/>
  <c r="K154" i="1"/>
  <c r="L154" i="1" s="1"/>
  <c r="M154" i="1" s="1"/>
  <c r="K153" i="1"/>
  <c r="L153" i="1" s="1"/>
  <c r="M153" i="1" s="1"/>
  <c r="K152" i="1"/>
  <c r="L152" i="1" s="1"/>
  <c r="M152" i="1" s="1"/>
  <c r="K151" i="1"/>
  <c r="L151" i="1" s="1"/>
  <c r="M151" i="1" s="1"/>
  <c r="K150" i="1"/>
  <c r="L150" i="1" s="1"/>
  <c r="M150" i="1" s="1"/>
  <c r="K149" i="1"/>
  <c r="L149" i="1" s="1"/>
  <c r="M149" i="1" s="1"/>
  <c r="K148" i="1"/>
  <c r="L148" i="1" s="1"/>
  <c r="M148" i="1" s="1"/>
  <c r="K147" i="1"/>
  <c r="L147" i="1" s="1"/>
  <c r="M147" i="1" s="1"/>
  <c r="K146" i="1"/>
  <c r="L146" i="1" s="1"/>
  <c r="M146" i="1" s="1"/>
  <c r="K145" i="1"/>
  <c r="L145" i="1" s="1"/>
  <c r="M145" i="1" s="1"/>
  <c r="K144" i="1"/>
  <c r="L144" i="1" s="1"/>
  <c r="M144" i="1" s="1"/>
  <c r="K143" i="1"/>
  <c r="L143" i="1" s="1"/>
  <c r="M143" i="1" s="1"/>
  <c r="K142" i="1"/>
  <c r="L142" i="1" s="1"/>
  <c r="M142" i="1" s="1"/>
  <c r="K141" i="1"/>
  <c r="L141" i="1" s="1"/>
  <c r="M141" i="1" s="1"/>
  <c r="K140" i="1"/>
  <c r="L140" i="1" s="1"/>
  <c r="M140" i="1" s="1"/>
  <c r="K139" i="1"/>
  <c r="L139" i="1" s="1"/>
  <c r="M139" i="1" s="1"/>
  <c r="K138" i="1"/>
  <c r="L138" i="1" s="1"/>
  <c r="M138" i="1" s="1"/>
  <c r="K137" i="1"/>
  <c r="L137" i="1" s="1"/>
  <c r="M137" i="1" s="1"/>
  <c r="K136" i="1"/>
  <c r="L136" i="1" s="1"/>
  <c r="M136" i="1" s="1"/>
  <c r="K135" i="1"/>
  <c r="L135" i="1" s="1"/>
  <c r="M135" i="1" s="1"/>
  <c r="K134" i="1"/>
  <c r="L134" i="1" s="1"/>
  <c r="M134" i="1" s="1"/>
  <c r="K133" i="1"/>
  <c r="L133" i="1" s="1"/>
  <c r="M133" i="1" s="1"/>
  <c r="K132" i="1"/>
  <c r="L132" i="1" s="1"/>
  <c r="M132" i="1" s="1"/>
  <c r="K131" i="1"/>
  <c r="L131" i="1" s="1"/>
  <c r="M131" i="1" s="1"/>
  <c r="K130" i="1"/>
  <c r="L130" i="1" s="1"/>
  <c r="M130" i="1" s="1"/>
  <c r="K129" i="1"/>
  <c r="L129" i="1" s="1"/>
  <c r="M129" i="1" s="1"/>
  <c r="K128" i="1"/>
  <c r="L128" i="1" s="1"/>
  <c r="M128" i="1" s="1"/>
  <c r="K127" i="1"/>
  <c r="L127" i="1" s="1"/>
  <c r="M127" i="1" s="1"/>
  <c r="K126" i="1"/>
  <c r="L126" i="1" s="1"/>
  <c r="M126" i="1" s="1"/>
  <c r="K125" i="1"/>
  <c r="L125" i="1" s="1"/>
  <c r="M125" i="1" s="1"/>
  <c r="K124" i="1"/>
  <c r="L124" i="1" s="1"/>
  <c r="M124" i="1" s="1"/>
  <c r="K123" i="1"/>
  <c r="L123" i="1" s="1"/>
  <c r="M123" i="1" s="1"/>
  <c r="K122" i="1"/>
  <c r="L122" i="1" s="1"/>
  <c r="M122" i="1" s="1"/>
  <c r="K121" i="1"/>
  <c r="L121" i="1" s="1"/>
  <c r="M121" i="1" s="1"/>
  <c r="K120" i="1"/>
  <c r="L120" i="1" s="1"/>
  <c r="M120" i="1" s="1"/>
  <c r="K119" i="1"/>
  <c r="L119" i="1" s="1"/>
  <c r="M119" i="1" s="1"/>
  <c r="K118" i="1"/>
  <c r="L118" i="1" s="1"/>
  <c r="M118" i="1" s="1"/>
  <c r="K117" i="1"/>
  <c r="L117" i="1" s="1"/>
  <c r="M117" i="1" s="1"/>
  <c r="K116" i="1"/>
  <c r="L116" i="1" s="1"/>
  <c r="M116" i="1" s="1"/>
  <c r="K115" i="1"/>
  <c r="L115" i="1" s="1"/>
  <c r="M115" i="1" s="1"/>
  <c r="K114" i="1"/>
  <c r="L114" i="1" s="1"/>
  <c r="M114" i="1" s="1"/>
  <c r="K113" i="1"/>
  <c r="L113" i="1" s="1"/>
  <c r="M113" i="1" s="1"/>
  <c r="K112" i="1"/>
  <c r="L112" i="1" s="1"/>
  <c r="M112" i="1" s="1"/>
  <c r="K111" i="1"/>
  <c r="L111" i="1" s="1"/>
  <c r="M111" i="1" s="1"/>
  <c r="K110" i="1"/>
  <c r="L110" i="1" s="1"/>
  <c r="M110" i="1" s="1"/>
  <c r="K109" i="1"/>
  <c r="L109" i="1" s="1"/>
  <c r="M109" i="1" s="1"/>
  <c r="K108" i="1"/>
  <c r="L108" i="1" s="1"/>
  <c r="M108" i="1" s="1"/>
  <c r="K107" i="1"/>
  <c r="L107" i="1" s="1"/>
  <c r="M107" i="1" s="1"/>
  <c r="K106" i="1"/>
  <c r="L106" i="1" s="1"/>
  <c r="M106" i="1" s="1"/>
  <c r="K105" i="1"/>
  <c r="L105" i="1" s="1"/>
  <c r="M105" i="1" s="1"/>
  <c r="K104" i="1"/>
  <c r="L104" i="1" s="1"/>
  <c r="M104" i="1" s="1"/>
  <c r="K103" i="1"/>
  <c r="L103" i="1" s="1"/>
  <c r="M103" i="1" s="1"/>
  <c r="K102" i="1"/>
  <c r="L102" i="1" s="1"/>
  <c r="M102" i="1" s="1"/>
  <c r="K101" i="1"/>
  <c r="L101" i="1" s="1"/>
  <c r="M101" i="1" s="1"/>
  <c r="K100" i="1"/>
  <c r="L100" i="1" s="1"/>
  <c r="M100" i="1" s="1"/>
  <c r="K99" i="1"/>
  <c r="L99" i="1" s="1"/>
  <c r="M99" i="1" s="1"/>
  <c r="K98" i="1"/>
  <c r="L98" i="1" s="1"/>
  <c r="M98" i="1" s="1"/>
  <c r="K97" i="1"/>
  <c r="L97" i="1" s="1"/>
  <c r="M97" i="1" s="1"/>
  <c r="K96" i="1"/>
  <c r="L96" i="1" s="1"/>
  <c r="M96" i="1" s="1"/>
  <c r="K95" i="1"/>
  <c r="L95" i="1" s="1"/>
  <c r="M95" i="1" s="1"/>
  <c r="K94" i="1"/>
  <c r="L94" i="1" s="1"/>
  <c r="M94" i="1" s="1"/>
  <c r="K93" i="1"/>
  <c r="L93" i="1" s="1"/>
  <c r="M93" i="1" s="1"/>
  <c r="K92" i="1"/>
  <c r="L92" i="1" s="1"/>
  <c r="M92" i="1" s="1"/>
  <c r="K91" i="1"/>
  <c r="L91" i="1" s="1"/>
  <c r="M91" i="1" s="1"/>
  <c r="K89" i="1"/>
  <c r="L89" i="1" s="1"/>
  <c r="M89" i="1" s="1"/>
  <c r="K88" i="1"/>
  <c r="L88" i="1" s="1"/>
  <c r="M88" i="1" s="1"/>
  <c r="K87" i="1"/>
  <c r="L87" i="1" s="1"/>
  <c r="M87" i="1" s="1"/>
  <c r="K86" i="1"/>
  <c r="L86" i="1" s="1"/>
  <c r="M86" i="1" s="1"/>
  <c r="K85" i="1"/>
  <c r="L85" i="1" s="1"/>
  <c r="M85" i="1" s="1"/>
  <c r="K84" i="1"/>
  <c r="L84" i="1" s="1"/>
  <c r="M84" i="1" s="1"/>
  <c r="K83" i="1"/>
  <c r="L83" i="1" s="1"/>
  <c r="M83" i="1" s="1"/>
  <c r="K82" i="1"/>
  <c r="L82" i="1" s="1"/>
  <c r="M82" i="1" s="1"/>
  <c r="K81" i="1"/>
  <c r="L81" i="1" s="1"/>
  <c r="M81" i="1" s="1"/>
  <c r="K80" i="1"/>
  <c r="L80" i="1" s="1"/>
  <c r="M80" i="1" s="1"/>
  <c r="K79" i="1"/>
  <c r="L79" i="1" s="1"/>
  <c r="M79" i="1" s="1"/>
  <c r="K77" i="1"/>
  <c r="L77" i="1" s="1"/>
  <c r="M77" i="1" s="1"/>
  <c r="K76" i="1"/>
  <c r="L76" i="1" s="1"/>
  <c r="M76" i="1" s="1"/>
  <c r="K75" i="1"/>
  <c r="L75" i="1" s="1"/>
  <c r="M75" i="1" s="1"/>
  <c r="K74" i="1"/>
  <c r="L74" i="1" s="1"/>
  <c r="M74" i="1" s="1"/>
  <c r="K73" i="1"/>
  <c r="L73" i="1" s="1"/>
  <c r="M73" i="1" s="1"/>
  <c r="K72" i="1"/>
  <c r="L72" i="1" s="1"/>
  <c r="M72" i="1" s="1"/>
  <c r="K71" i="1"/>
  <c r="L71" i="1" s="1"/>
  <c r="M71" i="1" s="1"/>
  <c r="K70" i="1"/>
  <c r="L70" i="1" s="1"/>
  <c r="M70" i="1" s="1"/>
  <c r="K69" i="1"/>
  <c r="L69" i="1" s="1"/>
  <c r="M69" i="1" s="1"/>
  <c r="K68" i="1"/>
  <c r="L68" i="1" s="1"/>
  <c r="M68" i="1" s="1"/>
  <c r="K67" i="1"/>
  <c r="L67" i="1" s="1"/>
  <c r="M67" i="1" s="1"/>
  <c r="K66" i="1"/>
  <c r="L66" i="1" s="1"/>
  <c r="M66" i="1" s="1"/>
  <c r="K65" i="1"/>
  <c r="L65" i="1" s="1"/>
  <c r="M65" i="1" s="1"/>
  <c r="K64" i="1"/>
  <c r="L64" i="1" s="1"/>
  <c r="M64" i="1" s="1"/>
  <c r="K63" i="1"/>
  <c r="L63" i="1" s="1"/>
  <c r="M63" i="1" s="1"/>
  <c r="K62" i="1"/>
  <c r="L62" i="1" s="1"/>
  <c r="M62" i="1" s="1"/>
  <c r="K61" i="1"/>
  <c r="L61" i="1" s="1"/>
  <c r="M61" i="1" s="1"/>
  <c r="K60" i="1"/>
  <c r="L60" i="1" s="1"/>
  <c r="M60" i="1" s="1"/>
  <c r="K59" i="1"/>
  <c r="L59" i="1" s="1"/>
  <c r="M59" i="1" s="1"/>
  <c r="K58" i="1"/>
  <c r="L58" i="1" s="1"/>
  <c r="M58" i="1" s="1"/>
  <c r="K57" i="1"/>
  <c r="L57" i="1" s="1"/>
  <c r="M57" i="1" s="1"/>
  <c r="K56" i="1"/>
  <c r="L56" i="1" s="1"/>
  <c r="M56" i="1" s="1"/>
  <c r="K55" i="1"/>
  <c r="L55" i="1" s="1"/>
  <c r="M55" i="1" s="1"/>
  <c r="K54" i="1"/>
  <c r="L54" i="1" s="1"/>
  <c r="M54" i="1" s="1"/>
  <c r="K53" i="1"/>
  <c r="L53" i="1" s="1"/>
  <c r="M53" i="1" s="1"/>
  <c r="K52" i="1"/>
  <c r="L52" i="1" s="1"/>
  <c r="M52" i="1" s="1"/>
  <c r="K51" i="1"/>
  <c r="L51" i="1" s="1"/>
  <c r="M51" i="1" s="1"/>
  <c r="K50" i="1"/>
  <c r="L50" i="1" s="1"/>
  <c r="M50" i="1" s="1"/>
  <c r="K49" i="1"/>
  <c r="L49" i="1" s="1"/>
  <c r="M49" i="1" s="1"/>
  <c r="K48" i="1"/>
  <c r="L48" i="1" s="1"/>
  <c r="M48" i="1" s="1"/>
  <c r="K47" i="1"/>
  <c r="L47" i="1" s="1"/>
  <c r="M47" i="1" s="1"/>
  <c r="K46" i="1"/>
  <c r="L46" i="1" s="1"/>
  <c r="M46" i="1" s="1"/>
  <c r="K45" i="1"/>
  <c r="L45" i="1" s="1"/>
  <c r="M45" i="1" s="1"/>
  <c r="K44" i="1"/>
  <c r="L44" i="1" s="1"/>
  <c r="M44" i="1" s="1"/>
  <c r="K43" i="1"/>
  <c r="L43" i="1" s="1"/>
  <c r="M43" i="1" s="1"/>
  <c r="K42" i="1"/>
  <c r="L42" i="1" s="1"/>
  <c r="M42" i="1" s="1"/>
  <c r="K41" i="1"/>
  <c r="L41" i="1" s="1"/>
  <c r="M41" i="1" s="1"/>
  <c r="K40" i="1"/>
  <c r="L40" i="1" s="1"/>
  <c r="M40" i="1" s="1"/>
  <c r="K39" i="1"/>
  <c r="L39" i="1" s="1"/>
  <c r="M39" i="1" s="1"/>
  <c r="K38" i="1"/>
  <c r="L38" i="1" s="1"/>
  <c r="M38" i="1" s="1"/>
  <c r="K37" i="1"/>
  <c r="L37" i="1" s="1"/>
  <c r="M37" i="1" s="1"/>
  <c r="K36" i="1"/>
  <c r="L36" i="1" s="1"/>
  <c r="M36" i="1" s="1"/>
  <c r="K35" i="1"/>
  <c r="L35" i="1" s="1"/>
  <c r="M35" i="1" s="1"/>
  <c r="K34" i="1"/>
  <c r="L34" i="1" s="1"/>
  <c r="M34" i="1" s="1"/>
  <c r="K33" i="1"/>
  <c r="L33" i="1" s="1"/>
  <c r="M33" i="1" s="1"/>
  <c r="K32" i="1"/>
  <c r="L32" i="1" s="1"/>
  <c r="M32" i="1" s="1"/>
  <c r="K31" i="1"/>
  <c r="L31" i="1" s="1"/>
  <c r="M31" i="1" s="1"/>
  <c r="K30" i="1"/>
  <c r="L30" i="1" s="1"/>
  <c r="M30" i="1" s="1"/>
  <c r="K29" i="1"/>
  <c r="L29" i="1" s="1"/>
  <c r="M29" i="1" s="1"/>
  <c r="K28" i="1"/>
  <c r="L28" i="1" s="1"/>
  <c r="M28" i="1" s="1"/>
  <c r="K27" i="1"/>
  <c r="L27" i="1" s="1"/>
  <c r="M27" i="1" s="1"/>
  <c r="K26" i="1"/>
  <c r="L26" i="1" s="1"/>
  <c r="M26" i="1" s="1"/>
  <c r="K25" i="1"/>
  <c r="L25" i="1" s="1"/>
  <c r="M25" i="1" s="1"/>
  <c r="K24" i="1"/>
  <c r="L24" i="1" s="1"/>
  <c r="M24" i="1" s="1"/>
  <c r="K23" i="1"/>
  <c r="L23" i="1" s="1"/>
  <c r="M23" i="1" s="1"/>
  <c r="K22" i="1"/>
  <c r="L22" i="1" s="1"/>
  <c r="M22" i="1" s="1"/>
  <c r="K21" i="1"/>
  <c r="L21" i="1" s="1"/>
  <c r="M21" i="1" s="1"/>
  <c r="K20" i="1"/>
  <c r="L20" i="1" s="1"/>
  <c r="M20" i="1" s="1"/>
  <c r="K19" i="1"/>
  <c r="L19" i="1" s="1"/>
  <c r="M19" i="1" s="1"/>
  <c r="K18" i="1"/>
  <c r="L18" i="1" s="1"/>
  <c r="M18" i="1" s="1"/>
  <c r="K17" i="1"/>
  <c r="L17" i="1" s="1"/>
  <c r="M17" i="1" s="1"/>
  <c r="K16" i="1"/>
  <c r="L16" i="1" s="1"/>
  <c r="M16" i="1" s="1"/>
  <c r="K15" i="1"/>
  <c r="L15" i="1" s="1"/>
  <c r="M15" i="1" s="1"/>
  <c r="K14" i="1"/>
  <c r="L14" i="1" s="1"/>
  <c r="M14" i="1" s="1"/>
  <c r="K13" i="1"/>
  <c r="L13" i="1" s="1"/>
  <c r="M13" i="1" s="1"/>
  <c r="K12" i="1"/>
  <c r="L12" i="1" s="1"/>
  <c r="M12" i="1" s="1"/>
  <c r="K11" i="1"/>
  <c r="L11" i="1" s="1"/>
  <c r="M11" i="1" s="1"/>
  <c r="K10" i="1"/>
  <c r="L10" i="1" s="1"/>
  <c r="M10" i="1" s="1"/>
  <c r="K9" i="1"/>
  <c r="L9" i="1" s="1"/>
  <c r="M9" i="1" s="1"/>
  <c r="K8" i="1"/>
  <c r="L8" i="1" s="1"/>
  <c r="M8" i="1" s="1"/>
  <c r="K7" i="1"/>
  <c r="L7" i="1" s="1"/>
  <c r="M7" i="1" s="1"/>
  <c r="K6" i="1"/>
  <c r="L6" i="1" s="1"/>
  <c r="M6" i="1" s="1"/>
  <c r="K5" i="1"/>
  <c r="L5" i="1" s="1"/>
  <c r="M5" i="1" s="1"/>
  <c r="K4" i="1"/>
  <c r="L4" i="1" s="1"/>
  <c r="M4" i="1" s="1"/>
  <c r="K3" i="1"/>
  <c r="L3" i="1" s="1"/>
  <c r="M3" i="1" s="1"/>
  <c r="K2" i="1"/>
  <c r="L2" i="1" s="1"/>
  <c r="M2" i="1" s="1"/>
  <c r="K416" i="1"/>
  <c r="L416" i="1" s="1"/>
  <c r="M416" i="1" s="1"/>
  <c r="Q9" i="1"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<sst xmlns="http://schemas.openxmlformats.org/spreadsheetml/2006/main" count="5071" uniqueCount="1750">
  <si>
    <t>Employee ID</t>
  </si>
  <si>
    <t>Name</t>
  </si>
  <si>
    <t>Department</t>
  </si>
  <si>
    <t>Region</t>
  </si>
  <si>
    <t>Email</t>
  </si>
  <si>
    <t>Phone Number</t>
  </si>
  <si>
    <t>Sales (Q1)</t>
  </si>
  <si>
    <t>Sales (Q2)</t>
  </si>
  <si>
    <t>Sales (Q3)</t>
  </si>
  <si>
    <t>Sales (Q4)</t>
  </si>
  <si>
    <t>Susan Smith</t>
  </si>
  <si>
    <t>Operations</t>
  </si>
  <si>
    <t>North</t>
  </si>
  <si>
    <t>susansmith@company.com</t>
  </si>
  <si>
    <t>854-204-9935</t>
  </si>
  <si>
    <t>Elizabeth Miller</t>
  </si>
  <si>
    <t>HR</t>
  </si>
  <si>
    <t>elizabeth.miller@company.com</t>
  </si>
  <si>
    <t>555 320 6514</t>
  </si>
  <si>
    <t>Robert Adams</t>
  </si>
  <si>
    <t>South</t>
  </si>
  <si>
    <t>robert adams@company.com</t>
  </si>
  <si>
    <t>(555)227-7201</t>
  </si>
  <si>
    <t>Linda Wright</t>
  </si>
  <si>
    <t>linda.wright@@company.com</t>
  </si>
  <si>
    <t>266-479-6820</t>
  </si>
  <si>
    <t>Linda Martinez</t>
  </si>
  <si>
    <t>Support</t>
  </si>
  <si>
    <t>East</t>
  </si>
  <si>
    <t>lindamartinez@company.com</t>
  </si>
  <si>
    <t>555 316 6155</t>
  </si>
  <si>
    <t>Robert Anderson</t>
  </si>
  <si>
    <t>Finance</t>
  </si>
  <si>
    <t>robert_anderson@company.com</t>
  </si>
  <si>
    <t>8217611860</t>
  </si>
  <si>
    <t>Robert Smith</t>
  </si>
  <si>
    <t>robert.smith@companycom</t>
  </si>
  <si>
    <t>+1-555-214-5808</t>
  </si>
  <si>
    <t>Patricia Johnson</t>
  </si>
  <si>
    <t>Sales</t>
  </si>
  <si>
    <t>patriciajohnson@company.com</t>
  </si>
  <si>
    <t>(555)652-9689</t>
  </si>
  <si>
    <t>Jennifer O’Connel</t>
  </si>
  <si>
    <t>West</t>
  </si>
  <si>
    <t>jennifero’connel@company.com</t>
  </si>
  <si>
    <t>+1-555-640-7932</t>
  </si>
  <si>
    <t>Richard Wright</t>
  </si>
  <si>
    <t>richard.wright@company.com</t>
  </si>
  <si>
    <t>(555)446-1344</t>
  </si>
  <si>
    <t>Linda Davis</t>
  </si>
  <si>
    <t>lindadavis@company.com</t>
  </si>
  <si>
    <t>(555)652-3167</t>
  </si>
  <si>
    <t>Richard Adams</t>
  </si>
  <si>
    <t>richard.adams@company.com</t>
  </si>
  <si>
    <t>555 294 9786</t>
  </si>
  <si>
    <t>Marketing</t>
  </si>
  <si>
    <t>270-516-8956</t>
  </si>
  <si>
    <t>Patricia Anderson</t>
  </si>
  <si>
    <t>patriciaanderson@company.com</t>
  </si>
  <si>
    <t>7803990970</t>
  </si>
  <si>
    <t>Peter Lopez</t>
  </si>
  <si>
    <t>peter.lopez@companycom</t>
  </si>
  <si>
    <t>+1-555-692-1651</t>
  </si>
  <si>
    <t>Robert Wilson</t>
  </si>
  <si>
    <t>robert.wilson@@company.com</t>
  </si>
  <si>
    <t>+1-555-175-9808</t>
  </si>
  <si>
    <t>Patricia Lopez</t>
  </si>
  <si>
    <t>patricia lopez@company.com</t>
  </si>
  <si>
    <t>(555)926-9666</t>
  </si>
  <si>
    <t>James Martinez</t>
  </si>
  <si>
    <t>james martinez@company.com</t>
  </si>
  <si>
    <t>+1-555-749-7939</t>
  </si>
  <si>
    <t>Richard Anderson</t>
  </si>
  <si>
    <t>richard.anderson@company.com</t>
  </si>
  <si>
    <t>+1-555-696-3426</t>
  </si>
  <si>
    <t>James Miller</t>
  </si>
  <si>
    <t>james_miller@company.com</t>
  </si>
  <si>
    <t>(555)898-7658</t>
  </si>
  <si>
    <t>linda.davis@@company.com</t>
  </si>
  <si>
    <t>979-581-4644</t>
  </si>
  <si>
    <t>Robert O’Connel</t>
  </si>
  <si>
    <t>robert_o’connel@company.com</t>
  </si>
  <si>
    <t>(555)756-9346</t>
  </si>
  <si>
    <t>Elizabeth Wright</t>
  </si>
  <si>
    <t>elizabeth_wright@company.com</t>
  </si>
  <si>
    <t>+1-555-803-4228</t>
  </si>
  <si>
    <t>William Garcia</t>
  </si>
  <si>
    <t>williamgarcia@company.com</t>
  </si>
  <si>
    <t>+1-555-730-5930</t>
  </si>
  <si>
    <t>Michael Thomas</t>
  </si>
  <si>
    <t>michael.thomas@companycom</t>
  </si>
  <si>
    <t>(555)318-9375</t>
  </si>
  <si>
    <t>Linda Johnson</t>
  </si>
  <si>
    <t>linda.johnson@company.com</t>
  </si>
  <si>
    <t>555 744 4185</t>
  </si>
  <si>
    <t>Susan Anderson</t>
  </si>
  <si>
    <t>susan.anderson@companycom</t>
  </si>
  <si>
    <t>8737025391</t>
  </si>
  <si>
    <t>Elizabeth Thomas</t>
  </si>
  <si>
    <t>elizabeth.thomas@@company.com</t>
  </si>
  <si>
    <t>(555)365-5050</t>
  </si>
  <si>
    <t>Michael O’Connel</t>
  </si>
  <si>
    <t>michaelo’connel@company.com</t>
  </si>
  <si>
    <t>(555)492-3503</t>
  </si>
  <si>
    <t>John Wilson</t>
  </si>
  <si>
    <t>john_wilson@company.com</t>
  </si>
  <si>
    <t>+1-555-651-9947</t>
  </si>
  <si>
    <t>William Lopez</t>
  </si>
  <si>
    <t>williamlopez@company.com</t>
  </si>
  <si>
    <t>+1-555-185-8022</t>
  </si>
  <si>
    <t>Michael Wilson</t>
  </si>
  <si>
    <t>IT</t>
  </si>
  <si>
    <t>michael_wilson@company.com</t>
  </si>
  <si>
    <t>(555)954-2341</t>
  </si>
  <si>
    <t>David Miller</t>
  </si>
  <si>
    <t>david.miller@companycom</t>
  </si>
  <si>
    <t>2335901990</t>
  </si>
  <si>
    <t>William Johnson</t>
  </si>
  <si>
    <t>william.johnson@company.com</t>
  </si>
  <si>
    <t>2591589823</t>
  </si>
  <si>
    <t>Jennifer Wright</t>
  </si>
  <si>
    <t>jennifer.wright@companycom</t>
  </si>
  <si>
    <t>555 766 5425</t>
  </si>
  <si>
    <t>Michael Miller</t>
  </si>
  <si>
    <t>michael_miller@company.com</t>
  </si>
  <si>
    <t>868-575-7209</t>
  </si>
  <si>
    <t>robert.smith@company.com</t>
  </si>
  <si>
    <t>+1-555-807-8800</t>
  </si>
  <si>
    <t>Barbara Taylor</t>
  </si>
  <si>
    <t>barbara.taylor@@company.com</t>
  </si>
  <si>
    <t>(555)863-6419</t>
  </si>
  <si>
    <t>James Johnson</t>
  </si>
  <si>
    <t>james_johnson@company.com</t>
  </si>
  <si>
    <t>+1-555-952-4180</t>
  </si>
  <si>
    <t>Mary Adams</t>
  </si>
  <si>
    <t>mary.adams@companycom</t>
  </si>
  <si>
    <t>205-993-1200</t>
  </si>
  <si>
    <t>Peter Wilson</t>
  </si>
  <si>
    <t>peter wilson@company.com</t>
  </si>
  <si>
    <t>555 221 7818</t>
  </si>
  <si>
    <t>Elizabeth Garcia</t>
  </si>
  <si>
    <t>elizabeth garcia@company.com</t>
  </si>
  <si>
    <t>(555)857-2625</t>
  </si>
  <si>
    <t>Patricia Adams</t>
  </si>
  <si>
    <t>patricia.adams@companycom</t>
  </si>
  <si>
    <t>172-803-4824</t>
  </si>
  <si>
    <t>Mary Lopez</t>
  </si>
  <si>
    <t>mary lopez@company.com</t>
  </si>
  <si>
    <t>9343730920</t>
  </si>
  <si>
    <t>Mary Anderson</t>
  </si>
  <si>
    <t>mary anderson@company.com</t>
  </si>
  <si>
    <t>6047405755</t>
  </si>
  <si>
    <t>Elizabeth Taylor</t>
  </si>
  <si>
    <t>elizabeth_taylor@company.com</t>
  </si>
  <si>
    <t>+1-555-978-3634</t>
  </si>
  <si>
    <t>Mary Thomas</t>
  </si>
  <si>
    <t>mary_thomas@company.com</t>
  </si>
  <si>
    <t>(555)431-2899</t>
  </si>
  <si>
    <t>richard adams@company.com</t>
  </si>
  <si>
    <t>+1-555-224-1472</t>
  </si>
  <si>
    <t>linda.wright@companycom</t>
  </si>
  <si>
    <t>610-833-5781</t>
  </si>
  <si>
    <t>David O’Connel</t>
  </si>
  <si>
    <t>david_o’connel@company.com</t>
  </si>
  <si>
    <t>555 957 9022</t>
  </si>
  <si>
    <t>William Thomas</t>
  </si>
  <si>
    <t>william.thomas@companycom</t>
  </si>
  <si>
    <t>555 862 8749</t>
  </si>
  <si>
    <t>Jennifer Adams</t>
  </si>
  <si>
    <t>jennifer.adams@company.com</t>
  </si>
  <si>
    <t>+1-555-115-3361</t>
  </si>
  <si>
    <t>michael wilson@company.com</t>
  </si>
  <si>
    <t>340-746-5708</t>
  </si>
  <si>
    <t>Michael Adams</t>
  </si>
  <si>
    <t>michael_adams@company.com</t>
  </si>
  <si>
    <t>555 274 3868</t>
  </si>
  <si>
    <t>david.miller@@company.com</t>
  </si>
  <si>
    <t>555 261 2210</t>
  </si>
  <si>
    <t>James Wilson</t>
  </si>
  <si>
    <t>james.wilson@company.com</t>
  </si>
  <si>
    <t>2178884276</t>
  </si>
  <si>
    <t>Jennifer Garcia</t>
  </si>
  <si>
    <t>jennifer garcia@company.com</t>
  </si>
  <si>
    <t>(555)921-6772</t>
  </si>
  <si>
    <t>Barbara Brown</t>
  </si>
  <si>
    <t>barbara_brown@company.com</t>
  </si>
  <si>
    <t>279-305-3165</t>
  </si>
  <si>
    <t>Michael Wright</t>
  </si>
  <si>
    <t>michaelwright@company.com</t>
  </si>
  <si>
    <t>5354747485</t>
  </si>
  <si>
    <t>William Rodriguez</t>
  </si>
  <si>
    <t>william.rodriguez@@company.com</t>
  </si>
  <si>
    <t>(555)125-6374</t>
  </si>
  <si>
    <t>Susan Wright</t>
  </si>
  <si>
    <t>susan.wright@@company.com</t>
  </si>
  <si>
    <t>8875651818</t>
  </si>
  <si>
    <t>James Thomas</t>
  </si>
  <si>
    <t>james_thomas@company.com</t>
  </si>
  <si>
    <t>555 382 4109</t>
  </si>
  <si>
    <t>John Adams</t>
  </si>
  <si>
    <t>johnadams@company.com</t>
  </si>
  <si>
    <t>170-949-4394</t>
  </si>
  <si>
    <t>susan_smith@company.com</t>
  </si>
  <si>
    <t>8480622107</t>
  </si>
  <si>
    <t>Barbara Wright</t>
  </si>
  <si>
    <t>barbara wright@company.com</t>
  </si>
  <si>
    <t>555 967 7580</t>
  </si>
  <si>
    <t>david o’connel@company.com</t>
  </si>
  <si>
    <t>(555)748-9984</t>
  </si>
  <si>
    <t>James Anderson</t>
  </si>
  <si>
    <t>james.anderson@@company.com</t>
  </si>
  <si>
    <t>(555)447-8430</t>
  </si>
  <si>
    <t>Susan Rodriguez</t>
  </si>
  <si>
    <t>susan rodriguez@company.com</t>
  </si>
  <si>
    <t>9454207717</t>
  </si>
  <si>
    <t>James Brown</t>
  </si>
  <si>
    <t>jamesbrown@company.com</t>
  </si>
  <si>
    <t>8761956684</t>
  </si>
  <si>
    <t>John Davis</t>
  </si>
  <si>
    <t>john_davis@company.com</t>
  </si>
  <si>
    <t>(555)819-6062</t>
  </si>
  <si>
    <t>elizabeth_thomas@company.com</t>
  </si>
  <si>
    <t>+1-555-153-3549</t>
  </si>
  <si>
    <t>richard anderson@company.com</t>
  </si>
  <si>
    <t>555 639 6053</t>
  </si>
  <si>
    <t>james_brown@company.com</t>
  </si>
  <si>
    <t>4022245086</t>
  </si>
  <si>
    <t>peter.wilson@@company.com</t>
  </si>
  <si>
    <t>(555)119-8532</t>
  </si>
  <si>
    <t>Richard Rodriguez</t>
  </si>
  <si>
    <t>richard.rodriguez@company.com</t>
  </si>
  <si>
    <t>703-510-9584</t>
  </si>
  <si>
    <t>Susan Johnson</t>
  </si>
  <si>
    <t>susan_johnson@company.com</t>
  </si>
  <si>
    <t>341-205-3399</t>
  </si>
  <si>
    <t>Richard Martinez</t>
  </si>
  <si>
    <t>richardmartinez@company.com</t>
  </si>
  <si>
    <t>555 705 1920</t>
  </si>
  <si>
    <t>Peter O’Connel</t>
  </si>
  <si>
    <t>peter.o’connel@@company.com</t>
  </si>
  <si>
    <t>555 613 3471</t>
  </si>
  <si>
    <t>+1-555-472-7108</t>
  </si>
  <si>
    <t>Patricia Davis</t>
  </si>
  <si>
    <t>patricia_davis@company.com</t>
  </si>
  <si>
    <t>555 417 7171</t>
  </si>
  <si>
    <t>Anna Johnson</t>
  </si>
  <si>
    <t>annajohnson@company.com</t>
  </si>
  <si>
    <t>+1-555-964-2657</t>
  </si>
  <si>
    <t>William Brown</t>
  </si>
  <si>
    <t>william.brown@companycom</t>
  </si>
  <si>
    <t>9459318641</t>
  </si>
  <si>
    <t>Linda Miller</t>
  </si>
  <si>
    <t>lindamiller@company.com</t>
  </si>
  <si>
    <t>+1-555-896-7256</t>
  </si>
  <si>
    <t>susanwright@company.com</t>
  </si>
  <si>
    <t>(555)379-8361</t>
  </si>
  <si>
    <t>Linda Wilson</t>
  </si>
  <si>
    <t>lindawilson@company.com</t>
  </si>
  <si>
    <t>201-959-6493</t>
  </si>
  <si>
    <t>John O’Connel</t>
  </si>
  <si>
    <t>johno’connel@company.com</t>
  </si>
  <si>
    <t>(555)955-3449</t>
  </si>
  <si>
    <t>Richard O’Connel</t>
  </si>
  <si>
    <t>richard o’connel@company.com</t>
  </si>
  <si>
    <t>+1-555-835-3352</t>
  </si>
  <si>
    <t>Barbara O’Connel</t>
  </si>
  <si>
    <t>barbara.o’connel@@company.com</t>
  </si>
  <si>
    <t>144-750-7338</t>
  </si>
  <si>
    <t>Michael Brown</t>
  </si>
  <si>
    <t>michael brown@company.com</t>
  </si>
  <si>
    <t>(555)446-3868</t>
  </si>
  <si>
    <t>James Adams</t>
  </si>
  <si>
    <t>james.adams@company.com</t>
  </si>
  <si>
    <t>(555)423-6080</t>
  </si>
  <si>
    <t>Barbara Anderson</t>
  </si>
  <si>
    <t>barbara.anderson@@company.com</t>
  </si>
  <si>
    <t>(555)447-4060</t>
  </si>
  <si>
    <t>Patricia Martinez</t>
  </si>
  <si>
    <t>patricia_martinez@company.com</t>
  </si>
  <si>
    <t>+1-555-270-8272</t>
  </si>
  <si>
    <t>peter.wilson@company.com</t>
  </si>
  <si>
    <t>135-229-2101</t>
  </si>
  <si>
    <t>Peter Brown</t>
  </si>
  <si>
    <t>peter.brown@@company.com</t>
  </si>
  <si>
    <t>+1-555-853-4048</t>
  </si>
  <si>
    <t>Patricia Taylor</t>
  </si>
  <si>
    <t>patriciataylor@company.com</t>
  </si>
  <si>
    <t>4047453184</t>
  </si>
  <si>
    <t>Anna Rodriguez</t>
  </si>
  <si>
    <t>anna.rodriguez@company.com</t>
  </si>
  <si>
    <t>(555)305-3275</t>
  </si>
  <si>
    <t>Elizabeth Anderson</t>
  </si>
  <si>
    <t>elizabethanderson@company.com</t>
  </si>
  <si>
    <t>5849159641</t>
  </si>
  <si>
    <t>David Garcia</t>
  </si>
  <si>
    <t>david_garcia@company.com</t>
  </si>
  <si>
    <t>454-631-5653</t>
  </si>
  <si>
    <t>Anna Brown</t>
  </si>
  <si>
    <t>anna brown@company.com</t>
  </si>
  <si>
    <t>5425044246</t>
  </si>
  <si>
    <t>william.garcia@companycom</t>
  </si>
  <si>
    <t>+1-555-575-4342</t>
  </si>
  <si>
    <t>Susan Martinez</t>
  </si>
  <si>
    <t>susan.martinez@company.com</t>
  </si>
  <si>
    <t>353-244-2586</t>
  </si>
  <si>
    <t>Jennifer Smith</t>
  </si>
  <si>
    <t>jennifer smith@company.com</t>
  </si>
  <si>
    <t>+1-555-149-1828</t>
  </si>
  <si>
    <t>David Davis</t>
  </si>
  <si>
    <t>david.davis@@company.com</t>
  </si>
  <si>
    <t>7460728316</t>
  </si>
  <si>
    <t>Susan Brown</t>
  </si>
  <si>
    <t>susan_brown@company.com</t>
  </si>
  <si>
    <t>(555)913-6555</t>
  </si>
  <si>
    <t>Richard Brown</t>
  </si>
  <si>
    <t>richard_brown@company.com</t>
  </si>
  <si>
    <t>7581349462</t>
  </si>
  <si>
    <t>michael.wright@companycom</t>
  </si>
  <si>
    <t>711-585-5350</t>
  </si>
  <si>
    <t>davidmiller@company.com</t>
  </si>
  <si>
    <t>(555)119-8225</t>
  </si>
  <si>
    <t>Michael Taylor</t>
  </si>
  <si>
    <t>michael_taylor@company.com</t>
  </si>
  <si>
    <t>6353758928</t>
  </si>
  <si>
    <t>James Taylor</t>
  </si>
  <si>
    <t>james_taylor@company.com</t>
  </si>
  <si>
    <t>+1-555-488-7464</t>
  </si>
  <si>
    <t>Richard Davis</t>
  </si>
  <si>
    <t>richarddavis@company.com</t>
  </si>
  <si>
    <t>2041349374</t>
  </si>
  <si>
    <t>Elizabeth Martinez</t>
  </si>
  <si>
    <t>elizabeth.martinez@company.com</t>
  </si>
  <si>
    <t>+1-555-516-8793</t>
  </si>
  <si>
    <t>Linda Adams</t>
  </si>
  <si>
    <t>lindaadams@company.com</t>
  </si>
  <si>
    <t>5334769475</t>
  </si>
  <si>
    <t>Jennifer Brown</t>
  </si>
  <si>
    <t>jennifer_brown@company.com</t>
  </si>
  <si>
    <t>+1-555-763-5215</t>
  </si>
  <si>
    <t>Anna Wilson</t>
  </si>
  <si>
    <t>anna wilson@company.com</t>
  </si>
  <si>
    <t>(555)435-2421</t>
  </si>
  <si>
    <t>Michael Garcia</t>
  </si>
  <si>
    <t>michael_garcia@company.com</t>
  </si>
  <si>
    <t>5980945846</t>
  </si>
  <si>
    <t>Susan Garcia</t>
  </si>
  <si>
    <t>susangarcia@company.com</t>
  </si>
  <si>
    <t>256-565-7121</t>
  </si>
  <si>
    <t>617-307-9792</t>
  </si>
  <si>
    <t>(555)525-8484</t>
  </si>
  <si>
    <t>Elizabeth Rodriguez</t>
  </si>
  <si>
    <t>elizabeth rodriguez@company.com</t>
  </si>
  <si>
    <t>555 887 3218</t>
  </si>
  <si>
    <t>peter.brown@company.com</t>
  </si>
  <si>
    <t>+1-555-845-4648</t>
  </si>
  <si>
    <t>William Miller</t>
  </si>
  <si>
    <t>william_miller@company.com</t>
  </si>
  <si>
    <t>(555)258-5516</t>
  </si>
  <si>
    <t>Mary Miller</t>
  </si>
  <si>
    <t>mary.miller@@company.com</t>
  </si>
  <si>
    <t>+1-555-243-9255</t>
  </si>
  <si>
    <t>8178361487</t>
  </si>
  <si>
    <t>Patricia Wilson</t>
  </si>
  <si>
    <t>patriciawilson@company.com</t>
  </si>
  <si>
    <t>9451577335</t>
  </si>
  <si>
    <t>james.martinez@@company.com</t>
  </si>
  <si>
    <t>194-648-4120</t>
  </si>
  <si>
    <t>555 348 4350</t>
  </si>
  <si>
    <t>barbara.taylor@companycom</t>
  </si>
  <si>
    <t>(555)580-6246</t>
  </si>
  <si>
    <t>Patricia Brown</t>
  </si>
  <si>
    <t>patriciabrown@company.com</t>
  </si>
  <si>
    <t>+1-555-363-9005</t>
  </si>
  <si>
    <t>Anna Adams</t>
  </si>
  <si>
    <t>anna.adams@company.com</t>
  </si>
  <si>
    <t>1039262289</t>
  </si>
  <si>
    <t>Jennifer Taylor</t>
  </si>
  <si>
    <t>jennifer taylor@company.com</t>
  </si>
  <si>
    <t>555 648 5697</t>
  </si>
  <si>
    <t>david_miller@company.com</t>
  </si>
  <si>
    <t>(555)373-7502</t>
  </si>
  <si>
    <t>jennifer.adams@companycom</t>
  </si>
  <si>
    <t>611-965-8109</t>
  </si>
  <si>
    <t>Jennifer Davis</t>
  </si>
  <si>
    <t>jennifer.davis@companycom</t>
  </si>
  <si>
    <t>555 116 4394</t>
  </si>
  <si>
    <t>William Martinez</t>
  </si>
  <si>
    <t>william.martinez@companycom</t>
  </si>
  <si>
    <t>+1-555-154-2600</t>
  </si>
  <si>
    <t>Michael Smith</t>
  </si>
  <si>
    <t>michael.smith@@company.com</t>
  </si>
  <si>
    <t>464-666-7150</t>
  </si>
  <si>
    <t>william_brown@company.com</t>
  </si>
  <si>
    <t>(555)469-2745</t>
  </si>
  <si>
    <t>(555)667-2524</t>
  </si>
  <si>
    <t>anna_wilson@company.com</t>
  </si>
  <si>
    <t>(555)408-5397</t>
  </si>
  <si>
    <t>+1-555-923-6399</t>
  </si>
  <si>
    <t>Michael Lopez</t>
  </si>
  <si>
    <t>michael_lopez@company.com</t>
  </si>
  <si>
    <t>2567729816</t>
  </si>
  <si>
    <t>John Thomas</t>
  </si>
  <si>
    <t>john.thomas@@company.com</t>
  </si>
  <si>
    <t>+1-555-938-7703</t>
  </si>
  <si>
    <t>Peter Thomas</t>
  </si>
  <si>
    <t>peter thomas@company.com</t>
  </si>
  <si>
    <t>(555)510-9755</t>
  </si>
  <si>
    <t>anna_adams@company.com</t>
  </si>
  <si>
    <t>+1-555-364-4637</t>
  </si>
  <si>
    <t>David Rodriguez</t>
  </si>
  <si>
    <t>david.rodriguez@company.com</t>
  </si>
  <si>
    <t>4368413994</t>
  </si>
  <si>
    <t>richard.martinez@company.com</t>
  </si>
  <si>
    <t>4180378138</t>
  </si>
  <si>
    <t>elizabeth.thomas@companycom</t>
  </si>
  <si>
    <t>(555)288-4053</t>
  </si>
  <si>
    <t>Susan Lopez</t>
  </si>
  <si>
    <t>susanlopez@company.com</t>
  </si>
  <si>
    <t>7920516981</t>
  </si>
  <si>
    <t>Anna Garcia</t>
  </si>
  <si>
    <t>anna.garcia@companycom</t>
  </si>
  <si>
    <t>555 482 3316</t>
  </si>
  <si>
    <t>Anna Taylor</t>
  </si>
  <si>
    <t>anna taylor@company.com</t>
  </si>
  <si>
    <t>(555)270-9022</t>
  </si>
  <si>
    <t>Jennifer Anderson</t>
  </si>
  <si>
    <t>jennifer.anderson@@company.com</t>
  </si>
  <si>
    <t>+1-555-678-1505</t>
  </si>
  <si>
    <t>jennifer_wright@company.com</t>
  </si>
  <si>
    <t>555 878 8231</t>
  </si>
  <si>
    <t>patricia_adams@company.com</t>
  </si>
  <si>
    <t>2838963536</t>
  </si>
  <si>
    <t>Mary Rodriguez</t>
  </si>
  <si>
    <t>mary rodriguez@company.com</t>
  </si>
  <si>
    <t>555 978 9428</t>
  </si>
  <si>
    <t>(555)879-7434</t>
  </si>
  <si>
    <t>Richard Taylor</t>
  </si>
  <si>
    <t>richard.taylor@companycom</t>
  </si>
  <si>
    <t>555 914 9756</t>
  </si>
  <si>
    <t>patricia martinez@company.com</t>
  </si>
  <si>
    <t>907-451-1793</t>
  </si>
  <si>
    <t>david.garcia@company.com</t>
  </si>
  <si>
    <t>356-184-7092</t>
  </si>
  <si>
    <t>John Johnson</t>
  </si>
  <si>
    <t>johnjohnson@company.com</t>
  </si>
  <si>
    <t>555 812 6629</t>
  </si>
  <si>
    <t>William O’Connel</t>
  </si>
  <si>
    <t>william.o’connel@company.com</t>
  </si>
  <si>
    <t>9883760207</t>
  </si>
  <si>
    <t>Barbara Johnson</t>
  </si>
  <si>
    <t>barbara.johnson@@company.com</t>
  </si>
  <si>
    <t>555 870 3017</t>
  </si>
  <si>
    <t>Peter Miller</t>
  </si>
  <si>
    <t>peter.miller@companycom</t>
  </si>
  <si>
    <t>555 402 1894</t>
  </si>
  <si>
    <t>Peter Smith</t>
  </si>
  <si>
    <t>petersmith@company.com</t>
  </si>
  <si>
    <t>(555)496-7895</t>
  </si>
  <si>
    <t>william.garcia@@company.com</t>
  </si>
  <si>
    <t>2331039957</t>
  </si>
  <si>
    <t>william.o’connel@companycom</t>
  </si>
  <si>
    <t>(555)966-4909</t>
  </si>
  <si>
    <t>annataylor@company.com</t>
  </si>
  <si>
    <t>7138902282</t>
  </si>
  <si>
    <t>Jennifer Thomas</t>
  </si>
  <si>
    <t>jennifer.thomas@company.com</t>
  </si>
  <si>
    <t>(555)611-3734</t>
  </si>
  <si>
    <t>Jennifer Rodriguez</t>
  </si>
  <si>
    <t>jenniferrodriguez@company.com</t>
  </si>
  <si>
    <t>(555)978-1579</t>
  </si>
  <si>
    <t>Anna Miller</t>
  </si>
  <si>
    <t>anna.miller@@company.com</t>
  </si>
  <si>
    <t>986-389-6090</t>
  </si>
  <si>
    <t>Linda Thomas</t>
  </si>
  <si>
    <t>lindathomas@company.com</t>
  </si>
  <si>
    <t>+1-555-254-1104</t>
  </si>
  <si>
    <t>susan.johnson@@company.com</t>
  </si>
  <si>
    <t>555 337 9515</t>
  </si>
  <si>
    <t>David Wilson</t>
  </si>
  <si>
    <t>david.wilson@@company.com</t>
  </si>
  <si>
    <t>+1-555-971-6161</t>
  </si>
  <si>
    <t>David Wright</t>
  </si>
  <si>
    <t>davidwright@company.com</t>
  </si>
  <si>
    <t>555 888 4401</t>
  </si>
  <si>
    <t>patriciaadams@company.com</t>
  </si>
  <si>
    <t>555 366 3848</t>
  </si>
  <si>
    <t>555 932 2228</t>
  </si>
  <si>
    <t>Susan Adams</t>
  </si>
  <si>
    <t>susanadams@company.com</t>
  </si>
  <si>
    <t>941-841-7471</t>
  </si>
  <si>
    <t>David Adams</t>
  </si>
  <si>
    <t>david.adams@companycom</t>
  </si>
  <si>
    <t>521-663-8848</t>
  </si>
  <si>
    <t>john.wilson@@company.com</t>
  </si>
  <si>
    <t>5406906896</t>
  </si>
  <si>
    <t>Mary Taylor</t>
  </si>
  <si>
    <t>mary taylor@company.com</t>
  </si>
  <si>
    <t>5070780669</t>
  </si>
  <si>
    <t>anna.miller@companycom</t>
  </si>
  <si>
    <t>9462750778</t>
  </si>
  <si>
    <t>mary.miller@company.com</t>
  </si>
  <si>
    <t>(555)639-8831</t>
  </si>
  <si>
    <t>barbara o’connel@company.com</t>
  </si>
  <si>
    <t>409-430-3235</t>
  </si>
  <si>
    <t>Barbara Miller</t>
  </si>
  <si>
    <t>barbara.miller@@company.com</t>
  </si>
  <si>
    <t>3625862062</t>
  </si>
  <si>
    <t>Linda Rodriguez</t>
  </si>
  <si>
    <t>linda.rodriguez@companycom</t>
  </si>
  <si>
    <t>(555)190-6500</t>
  </si>
  <si>
    <t>Elizabeth Lopez</t>
  </si>
  <si>
    <t>elizabeth.lopez@@company.com</t>
  </si>
  <si>
    <t>+1-555-907-4695</t>
  </si>
  <si>
    <t>michael.lopez@companycom</t>
  </si>
  <si>
    <t>(555)176-9962</t>
  </si>
  <si>
    <t>Robert Garcia</t>
  </si>
  <si>
    <t>robert.garcia@company.com</t>
  </si>
  <si>
    <t>+1-555-257-1893</t>
  </si>
  <si>
    <t>James Wright</t>
  </si>
  <si>
    <t>jameswright@company.com</t>
  </si>
  <si>
    <t>2138185235</t>
  </si>
  <si>
    <t>Barbara Lopez</t>
  </si>
  <si>
    <t>barbara_lopez@company.com</t>
  </si>
  <si>
    <t>+1-555-677-2009</t>
  </si>
  <si>
    <t>linda adams@company.com</t>
  </si>
  <si>
    <t>(555)528-9773</t>
  </si>
  <si>
    <t>+1-555-143-7936</t>
  </si>
  <si>
    <t>632-569-1202</t>
  </si>
  <si>
    <t>susan wright@company.com</t>
  </si>
  <si>
    <t>370-492-8955</t>
  </si>
  <si>
    <t>Mary Wilson</t>
  </si>
  <si>
    <t>mary.wilson@company.com</t>
  </si>
  <si>
    <t>(555)863-8785</t>
  </si>
  <si>
    <t>Michael Davis</t>
  </si>
  <si>
    <t>michael davis@company.com</t>
  </si>
  <si>
    <t>(555)761-2462</t>
  </si>
  <si>
    <t>williambrown@company.com</t>
  </si>
  <si>
    <t>+1-555-133-8478</t>
  </si>
  <si>
    <t>susan.smith@@company.com</t>
  </si>
  <si>
    <t>(555)708-8308</t>
  </si>
  <si>
    <t>james.miller@companycom</t>
  </si>
  <si>
    <t>3780439666</t>
  </si>
  <si>
    <t>(555)570-5128</t>
  </si>
  <si>
    <t>Patricia Garcia</t>
  </si>
  <si>
    <t>patricia.garcia@@company.com</t>
  </si>
  <si>
    <t>1809000407</t>
  </si>
  <si>
    <t>+1-555-514-7361</t>
  </si>
  <si>
    <t>(555)960-3967</t>
  </si>
  <si>
    <t>elizabeth martinez@company.com</t>
  </si>
  <si>
    <t>555 583 4187</t>
  </si>
  <si>
    <t>David Johnson</t>
  </si>
  <si>
    <t>david johnson@company.com</t>
  </si>
  <si>
    <t>(555)568-3346</t>
  </si>
  <si>
    <t>748-539-7609</t>
  </si>
  <si>
    <t>James Smith</t>
  </si>
  <si>
    <t>james.smith@companycom</t>
  </si>
  <si>
    <t>(555)851-5076</t>
  </si>
  <si>
    <t>Michael Anderson</t>
  </si>
  <si>
    <t>michael_anderson@company.com</t>
  </si>
  <si>
    <t>868-292-3701</t>
  </si>
  <si>
    <t>susan.rodriguez@@company.com</t>
  </si>
  <si>
    <t>(555)997-5190</t>
  </si>
  <si>
    <t>Robert Taylor</t>
  </si>
  <si>
    <t>roberttaylor@company.com</t>
  </si>
  <si>
    <t>4859551800</t>
  </si>
  <si>
    <t>Susan Taylor</t>
  </si>
  <si>
    <t>susan_taylor@company.com</t>
  </si>
  <si>
    <t>+1-555-402-3627</t>
  </si>
  <si>
    <t>susan taylor@company.com</t>
  </si>
  <si>
    <t>362-759-4787</t>
  </si>
  <si>
    <t>michael.anderson@company.com</t>
  </si>
  <si>
    <t>9136934170</t>
  </si>
  <si>
    <t>michael.lopez@@company.com</t>
  </si>
  <si>
    <t>(555)567-5453</t>
  </si>
  <si>
    <t>jennifer_thomas@company.com</t>
  </si>
  <si>
    <t>(555)726-1472</t>
  </si>
  <si>
    <t>linda.martinez@@company.com</t>
  </si>
  <si>
    <t>555 111 3571</t>
  </si>
  <si>
    <t>linda.wilson@company.com</t>
  </si>
  <si>
    <t>(555)570-8277</t>
  </si>
  <si>
    <t>john o’connel@company.com</t>
  </si>
  <si>
    <t>555 945 1889</t>
  </si>
  <si>
    <t>jennifer.rodriguez@company.com</t>
  </si>
  <si>
    <t>102-449-6818</t>
  </si>
  <si>
    <t>Susan Davis</t>
  </si>
  <si>
    <t>susandavis@company.com</t>
  </si>
  <si>
    <t>555 210 7790</t>
  </si>
  <si>
    <t>john adams@company.com</t>
  </si>
  <si>
    <t>555 206 7347</t>
  </si>
  <si>
    <t>williammartinez@company.com</t>
  </si>
  <si>
    <t>716-816-9393</t>
  </si>
  <si>
    <t>David Lopez</t>
  </si>
  <si>
    <t>david.lopez@companycom</t>
  </si>
  <si>
    <t>4471642620</t>
  </si>
  <si>
    <t>Mary Johnson</t>
  </si>
  <si>
    <t>mary_johnson@company.com</t>
  </si>
  <si>
    <t>555 308 9866</t>
  </si>
  <si>
    <t>linda.wilson@companycom</t>
  </si>
  <si>
    <t>+1-555-907-6122</t>
  </si>
  <si>
    <t>(555)298-5819</t>
  </si>
  <si>
    <t>Anna Davis</t>
  </si>
  <si>
    <t>anna.davis@@company.com</t>
  </si>
  <si>
    <t>+1-555-711-1833</t>
  </si>
  <si>
    <t>Anna Anderson</t>
  </si>
  <si>
    <t>anna.anderson@company.com</t>
  </si>
  <si>
    <t>(555)457-4624</t>
  </si>
  <si>
    <t>linda.adams@@company.com</t>
  </si>
  <si>
    <t>(555)915-2857</t>
  </si>
  <si>
    <t>Peter Wright</t>
  </si>
  <si>
    <t>peter.wright@companycom</t>
  </si>
  <si>
    <t>786-744-4492</t>
  </si>
  <si>
    <t>peter_o’connel@company.com</t>
  </si>
  <si>
    <t>555 497 8391</t>
  </si>
  <si>
    <t>john.o’connel@companycom</t>
  </si>
  <si>
    <t>555 721 2417</t>
  </si>
  <si>
    <t>anna miller@company.com</t>
  </si>
  <si>
    <t>9611537583</t>
  </si>
  <si>
    <t>James Rodriguez</t>
  </si>
  <si>
    <t>james.rodriguez@companycom</t>
  </si>
  <si>
    <t>4660390742</t>
  </si>
  <si>
    <t>Peter Davis</t>
  </si>
  <si>
    <t>peter.davis@companycom</t>
  </si>
  <si>
    <t>438-465-3100</t>
  </si>
  <si>
    <t>patricia_brown@company.com</t>
  </si>
  <si>
    <t>+1-555-904-4629</t>
  </si>
  <si>
    <t>(555)761-2343</t>
  </si>
  <si>
    <t>william johnson@company.com</t>
  </si>
  <si>
    <t>5869982921</t>
  </si>
  <si>
    <t>John Miller</t>
  </si>
  <si>
    <t>john miller@company.com</t>
  </si>
  <si>
    <t>(555)243-8310</t>
  </si>
  <si>
    <t>Barbara Wilson</t>
  </si>
  <si>
    <t>barbara.wilson@company.com</t>
  </si>
  <si>
    <t>555 954 5314</t>
  </si>
  <si>
    <t>robert_wilson@company.com</t>
  </si>
  <si>
    <t>598-911-8898</t>
  </si>
  <si>
    <t>david lopez@company.com</t>
  </si>
  <si>
    <t>776-335-7793</t>
  </si>
  <si>
    <t>9410569618</t>
  </si>
  <si>
    <t>Peter Johnson</t>
  </si>
  <si>
    <t>peter.johnson@@company.com</t>
  </si>
  <si>
    <t>+1-555-913-3979</t>
  </si>
  <si>
    <t>William Wilson</t>
  </si>
  <si>
    <t>william.wilson@company.com</t>
  </si>
  <si>
    <t>6056989774</t>
  </si>
  <si>
    <t>Susan O’Connel</t>
  </si>
  <si>
    <t>susan o’connel@company.com</t>
  </si>
  <si>
    <t>555 479 1711</t>
  </si>
  <si>
    <t>susan.anderson@@company.com</t>
  </si>
  <si>
    <t>(555)884-4809</t>
  </si>
  <si>
    <t>william.johnson@@company.com</t>
  </si>
  <si>
    <t>555 533 6990</t>
  </si>
  <si>
    <t>Jennifer Lopez</t>
  </si>
  <si>
    <t>jennifer_lopez@company.com</t>
  </si>
  <si>
    <t>555 975 2951</t>
  </si>
  <si>
    <t>+1-555-582-8133</t>
  </si>
  <si>
    <t>549-110-4304</t>
  </si>
  <si>
    <t>630-115-2124</t>
  </si>
  <si>
    <t>john davis@company.com</t>
  </si>
  <si>
    <t>555 363 9813</t>
  </si>
  <si>
    <t>michael thomas@company.com</t>
  </si>
  <si>
    <t>+1-555-169-7269</t>
  </si>
  <si>
    <t>Linda Garcia</t>
  </si>
  <si>
    <t>linda.garcia@companycom</t>
  </si>
  <si>
    <t>177-667-3924</t>
  </si>
  <si>
    <t>Robert Johnson</t>
  </si>
  <si>
    <t>robertjohnson@company.com</t>
  </si>
  <si>
    <t>3636366799</t>
  </si>
  <si>
    <t>michael.taylor@@company.com</t>
  </si>
  <si>
    <t>555 155 9613</t>
  </si>
  <si>
    <t>Anna Thomas</t>
  </si>
  <si>
    <t>anna_thomas@company.com</t>
  </si>
  <si>
    <t>2115406331</t>
  </si>
  <si>
    <t>Michael Rodriguez</t>
  </si>
  <si>
    <t>michael.rodriguez@@company.com</t>
  </si>
  <si>
    <t>817-870-7099</t>
  </si>
  <si>
    <t>anna.anderson@companycom</t>
  </si>
  <si>
    <t>837-423-8972</t>
  </si>
  <si>
    <t>Susan Thomas</t>
  </si>
  <si>
    <t>susan_thomas@company.com</t>
  </si>
  <si>
    <t>3600929253</t>
  </si>
  <si>
    <t>Patricia Rodriguez</t>
  </si>
  <si>
    <t>patricia.rodriguez@companycom</t>
  </si>
  <si>
    <t>555 989 3745</t>
  </si>
  <si>
    <t>peter_lopez@company.com</t>
  </si>
  <si>
    <t>827-373-7479</t>
  </si>
  <si>
    <t>robert.o’connel@@company.com</t>
  </si>
  <si>
    <t>(555)205-2565</t>
  </si>
  <si>
    <t>Patricia Miller</t>
  </si>
  <si>
    <t>patricia.miller@@company.com</t>
  </si>
  <si>
    <t>7340036327</t>
  </si>
  <si>
    <t>anna thomas@company.com</t>
  </si>
  <si>
    <t>+1-555-652-4721</t>
  </si>
  <si>
    <t>John Brown</t>
  </si>
  <si>
    <t>john.brown@@company.com</t>
  </si>
  <si>
    <t>8722199922</t>
  </si>
  <si>
    <t>832-854-7385</t>
  </si>
  <si>
    <t>robert.garcia@@company.com</t>
  </si>
  <si>
    <t>286-239-5744</t>
  </si>
  <si>
    <t>John Lopez</t>
  </si>
  <si>
    <t>john_lopez@company.com</t>
  </si>
  <si>
    <t>555 115 9086</t>
  </si>
  <si>
    <t>richardadams@company.com</t>
  </si>
  <si>
    <t>894-501-2169</t>
  </si>
  <si>
    <t>james thomas@company.com</t>
  </si>
  <si>
    <t>555 744 1691</t>
  </si>
  <si>
    <t>james_wright@company.com</t>
  </si>
  <si>
    <t>8261722027</t>
  </si>
  <si>
    <t>anna.taylor@companycom</t>
  </si>
  <si>
    <t>464-760-3521</t>
  </si>
  <si>
    <t>Richard Johnson</t>
  </si>
  <si>
    <t>richard_johnson@company.com</t>
  </si>
  <si>
    <t>3104929112</t>
  </si>
  <si>
    <t>Robert Lopez</t>
  </si>
  <si>
    <t>robert.lopez@@company.com</t>
  </si>
  <si>
    <t>4792165664</t>
  </si>
  <si>
    <t>(555)636-9151</t>
  </si>
  <si>
    <t>davidlopez@company.com</t>
  </si>
  <si>
    <t>+1-555-684-7366</t>
  </si>
  <si>
    <t>james.taylor@@company.com</t>
  </si>
  <si>
    <t>(555)920-1994</t>
  </si>
  <si>
    <t>4204511084</t>
  </si>
  <si>
    <t>susan lopez@company.com</t>
  </si>
  <si>
    <t>+1-555-646-8258</t>
  </si>
  <si>
    <t>linda_johnson@company.com</t>
  </si>
  <si>
    <t>+1-555-391-1267</t>
  </si>
  <si>
    <t>Robert Brown</t>
  </si>
  <si>
    <t>robert.brown@@company.com</t>
  </si>
  <si>
    <t>(555)464-3557</t>
  </si>
  <si>
    <t>michael.taylor@companycom</t>
  </si>
  <si>
    <t>555 180 1916</t>
  </si>
  <si>
    <t>john wilson@company.com</t>
  </si>
  <si>
    <t>555 814 4617</t>
  </si>
  <si>
    <t>peter.miller@@company.com</t>
  </si>
  <si>
    <t>555 661 7540</t>
  </si>
  <si>
    <t>David Taylor</t>
  </si>
  <si>
    <t>david.taylor@@company.com</t>
  </si>
  <si>
    <t>+1-555-352-4970</t>
  </si>
  <si>
    <t>elizabeth_rodriguez@company.com</t>
  </si>
  <si>
    <t>888-412-3773</t>
  </si>
  <si>
    <t>susan_adams@company.com</t>
  </si>
  <si>
    <t>2425399664</t>
  </si>
  <si>
    <t>jennifer.brown@@company.com</t>
  </si>
  <si>
    <t>(555)696-9631</t>
  </si>
  <si>
    <t>9447304615</t>
  </si>
  <si>
    <t>patricia.martinez@companycom</t>
  </si>
  <si>
    <t>+1-555-463-5953</t>
  </si>
  <si>
    <t>Robert Miller</t>
  </si>
  <si>
    <t>robert.miller@@company.com</t>
  </si>
  <si>
    <t>555 527 4938</t>
  </si>
  <si>
    <t>+1-555-805-9582</t>
  </si>
  <si>
    <t>Anna Martinez</t>
  </si>
  <si>
    <t>anna.martinez@companycom</t>
  </si>
  <si>
    <t>523-521-5970</t>
  </si>
  <si>
    <t>linda_miller@company.com</t>
  </si>
  <si>
    <t>237-614-8680</t>
  </si>
  <si>
    <t>john.davis@companycom</t>
  </si>
  <si>
    <t>555 987 9027</t>
  </si>
  <si>
    <t>william martinez@company.com</t>
  </si>
  <si>
    <t>4157531471</t>
  </si>
  <si>
    <t>James Garcia</t>
  </si>
  <si>
    <t>james_garcia@company.com</t>
  </si>
  <si>
    <t>555 806 9470</t>
  </si>
  <si>
    <t>susan.lopez@@company.com</t>
  </si>
  <si>
    <t>561-125-3930</t>
  </si>
  <si>
    <t>richard.rodriguez@companycom</t>
  </si>
  <si>
    <t>9213063154</t>
  </si>
  <si>
    <t>david.lopez@@company.com</t>
  </si>
  <si>
    <t>(555)415-6071</t>
  </si>
  <si>
    <t>1028230917</t>
  </si>
  <si>
    <t>mary.lopez@companycom</t>
  </si>
  <si>
    <t>555 439 2436</t>
  </si>
  <si>
    <t>anna.thomas@company.com</t>
  </si>
  <si>
    <t>555 876 8001</t>
  </si>
  <si>
    <t>michael.anderson@companycom</t>
  </si>
  <si>
    <t>+1-555-189-8924</t>
  </si>
  <si>
    <t>(555)338-5759</t>
  </si>
  <si>
    <t>john_johnson@company.com</t>
  </si>
  <si>
    <t>555 885 1100</t>
  </si>
  <si>
    <t>james.martinez@companycom</t>
  </si>
  <si>
    <t>555 742 8546</t>
  </si>
  <si>
    <t>michael_smith@company.com</t>
  </si>
  <si>
    <t>4618105265</t>
  </si>
  <si>
    <t>(555)523-2422</t>
  </si>
  <si>
    <t>peter.thomas@@company.com</t>
  </si>
  <si>
    <t>4744348135</t>
  </si>
  <si>
    <t>Richard Wilson</t>
  </si>
  <si>
    <t>richard.wilson@company.com</t>
  </si>
  <si>
    <t>2342094845</t>
  </si>
  <si>
    <t>Michael Johnson</t>
  </si>
  <si>
    <t>michael_johnson@company.com</t>
  </si>
  <si>
    <t>1491603670</t>
  </si>
  <si>
    <t>Barbara Martinez</t>
  </si>
  <si>
    <t>barbara.martinez@companycom</t>
  </si>
  <si>
    <t>(555)923-5641</t>
  </si>
  <si>
    <t>Susan Wilson</t>
  </si>
  <si>
    <t>susan.wilson@@company.com</t>
  </si>
  <si>
    <t>4510886562</t>
  </si>
  <si>
    <t>david.o’connel@company.com</t>
  </si>
  <si>
    <t>+1-555-581-4796</t>
  </si>
  <si>
    <t>michael.thomas@company.com</t>
  </si>
  <si>
    <t>(555)586-2849</t>
  </si>
  <si>
    <t>richardwilson@company.com</t>
  </si>
  <si>
    <t>555 448 4411</t>
  </si>
  <si>
    <t>Anna O’Connel</t>
  </si>
  <si>
    <t>anna.o’connel@company.com</t>
  </si>
  <si>
    <t>(555)706-8584</t>
  </si>
  <si>
    <t>william.martinez@company.com</t>
  </si>
  <si>
    <t>6546964238</t>
  </si>
  <si>
    <t>patricia.garcia@company.com</t>
  </si>
  <si>
    <t>5563018598</t>
  </si>
  <si>
    <t>740-425-7271</t>
  </si>
  <si>
    <t>Elizabeth Brown</t>
  </si>
  <si>
    <t>elizabethbrown@company.com</t>
  </si>
  <si>
    <t>763-116-3359</t>
  </si>
  <si>
    <t>elizabeth lopez@company.com</t>
  </si>
  <si>
    <t>493-463-4698</t>
  </si>
  <si>
    <t>Barbara Adams</t>
  </si>
  <si>
    <t>barbara.adams@companycom</t>
  </si>
  <si>
    <t>9925949659</t>
  </si>
  <si>
    <t>patricia.adams@@company.com</t>
  </si>
  <si>
    <t>(555)564-9399</t>
  </si>
  <si>
    <t>+1-555-393-8942</t>
  </si>
  <si>
    <t>robert smith@company.com</t>
  </si>
  <si>
    <t>3082709180</t>
  </si>
  <si>
    <t>843-752-3740</t>
  </si>
  <si>
    <t>linda.wilson@@company.com</t>
  </si>
  <si>
    <t>(555)368-3378</t>
  </si>
  <si>
    <t>Robert Martinez</t>
  </si>
  <si>
    <t>robert.martinez@company.com</t>
  </si>
  <si>
    <t>+1-555-851-4193</t>
  </si>
  <si>
    <t>John Anderson</t>
  </si>
  <si>
    <t>john.anderson@companycom</t>
  </si>
  <si>
    <t>(555)556-6759</t>
  </si>
  <si>
    <t>+1-555-359-5826</t>
  </si>
  <si>
    <t>robert_lopez@company.com</t>
  </si>
  <si>
    <t>(555)895-2022</t>
  </si>
  <si>
    <t>jenniferwright@company.com</t>
  </si>
  <si>
    <t>555 174 2153</t>
  </si>
  <si>
    <t>William Davis</t>
  </si>
  <si>
    <t>william.davis@@company.com</t>
  </si>
  <si>
    <t>(555)688-1060</t>
  </si>
  <si>
    <t>474-647-6571</t>
  </si>
  <si>
    <t>patricia.wilson@@company.com</t>
  </si>
  <si>
    <t>(555)186-8175</t>
  </si>
  <si>
    <t>Richard Smith</t>
  </si>
  <si>
    <t>richard.smith@company.com</t>
  </si>
  <si>
    <t>(555)445-1701</t>
  </si>
  <si>
    <t>555 955 2047</t>
  </si>
  <si>
    <t>james_anderson@company.com</t>
  </si>
  <si>
    <t>(555)223-9943</t>
  </si>
  <si>
    <t>barbara lopez@company.com</t>
  </si>
  <si>
    <t>(555)141-3185</t>
  </si>
  <si>
    <t>patricia.anderson@companycom</t>
  </si>
  <si>
    <t>5029064216</t>
  </si>
  <si>
    <t>Peter Garcia</t>
  </si>
  <si>
    <t>peter.garcia@company.com</t>
  </si>
  <si>
    <t>555 983 9842</t>
  </si>
  <si>
    <t>mary.johnson@companycom</t>
  </si>
  <si>
    <t>555 155 6966</t>
  </si>
  <si>
    <t>Mary Wright</t>
  </si>
  <si>
    <t>mary wright@company.com</t>
  </si>
  <si>
    <t>8393369940</t>
  </si>
  <si>
    <t>linda.wright@company.com</t>
  </si>
  <si>
    <t>990-304-7152</t>
  </si>
  <si>
    <t>David Thomas</t>
  </si>
  <si>
    <t>david.thomas@companycom</t>
  </si>
  <si>
    <t>555 387 3236</t>
  </si>
  <si>
    <t>Anna Lopez</t>
  </si>
  <si>
    <t>anna.lopez@company.com</t>
  </si>
  <si>
    <t>555 957 8581</t>
  </si>
  <si>
    <t>elizabeth miller@company.com</t>
  </si>
  <si>
    <t>555 134 7974</t>
  </si>
  <si>
    <t>richard taylor@company.com</t>
  </si>
  <si>
    <t>(555)871-1203</t>
  </si>
  <si>
    <t>john.thomas@companycom</t>
  </si>
  <si>
    <t>+1-555-741-8607</t>
  </si>
  <si>
    <t>James O’Connel</t>
  </si>
  <si>
    <t>james.o’connel@companycom</t>
  </si>
  <si>
    <t>+1-555-213-7274</t>
  </si>
  <si>
    <t>james brown@company.com</t>
  </si>
  <si>
    <t>9151560334</t>
  </si>
  <si>
    <t>Barbara Rodriguez</t>
  </si>
  <si>
    <t>barbara rodriguez@company.com</t>
  </si>
  <si>
    <t>(555)639-3010</t>
  </si>
  <si>
    <t>+1-555-608-3465</t>
  </si>
  <si>
    <t>barbara_anderson@company.com</t>
  </si>
  <si>
    <t>6696442664</t>
  </si>
  <si>
    <t>Richard Thomas</t>
  </si>
  <si>
    <t>richard_thomas@company.com</t>
  </si>
  <si>
    <t>332-595-7093</t>
  </si>
  <si>
    <t>annalopez@company.com</t>
  </si>
  <si>
    <t>+1-555-551-5266</t>
  </si>
  <si>
    <t>anna.garcia@@company.com</t>
  </si>
  <si>
    <t>+1-555-104-9948</t>
  </si>
  <si>
    <t>richard.martinez@companycom</t>
  </si>
  <si>
    <t>(555)590-1656</t>
  </si>
  <si>
    <t>linda.davis@company.com</t>
  </si>
  <si>
    <t>+1-555-624-7462</t>
  </si>
  <si>
    <t>barbara_wilson@company.com</t>
  </si>
  <si>
    <t>+1-555-320-8278</t>
  </si>
  <si>
    <t>555 704 7156</t>
  </si>
  <si>
    <t>richard.brown@@company.com</t>
  </si>
  <si>
    <t>(555)396-9037</t>
  </si>
  <si>
    <t>susan.garcia@@company.com</t>
  </si>
  <si>
    <t>7790625760</t>
  </si>
  <si>
    <t>susan_rodriguez@company.com</t>
  </si>
  <si>
    <t>+1-555-999-3219</t>
  </si>
  <si>
    <t>patricia garcia@company.com</t>
  </si>
  <si>
    <t>+1-555-656-6285</t>
  </si>
  <si>
    <t>john_brown@company.com</t>
  </si>
  <si>
    <t>555 258 9247</t>
  </si>
  <si>
    <t>711-635-6604</t>
  </si>
  <si>
    <t>555 133 9412</t>
  </si>
  <si>
    <t>Patricia Smith</t>
  </si>
  <si>
    <t>patricia.smith@company.com</t>
  </si>
  <si>
    <t>+1-555-786-6759</t>
  </si>
  <si>
    <t>Linda O’Connel</t>
  </si>
  <si>
    <t>linda o’connel@company.com</t>
  </si>
  <si>
    <t>7333854872</t>
  </si>
  <si>
    <t>barbara wilson@company.com</t>
  </si>
  <si>
    <t>+1-555-226-8633</t>
  </si>
  <si>
    <t>Peter Martinez</t>
  </si>
  <si>
    <t>peter.martinez@@company.com</t>
  </si>
  <si>
    <t>714-853-6111</t>
  </si>
  <si>
    <t>barbara.lopez@companycom</t>
  </si>
  <si>
    <t>548-635-2392</t>
  </si>
  <si>
    <t>William Wright</t>
  </si>
  <si>
    <t>william.wright@companycom</t>
  </si>
  <si>
    <t>555 464 8795</t>
  </si>
  <si>
    <t>555 610 1438</t>
  </si>
  <si>
    <t>susan.o’connel@@company.com</t>
  </si>
  <si>
    <t>555 655 6629</t>
  </si>
  <si>
    <t>michael.wilson@company.com</t>
  </si>
  <si>
    <t>555 603 8056</t>
  </si>
  <si>
    <t>(555)157-7412</t>
  </si>
  <si>
    <t>Barbara Smith</t>
  </si>
  <si>
    <t>barbara.smith@@company.com</t>
  </si>
  <si>
    <t>+1-555-459-1924</t>
  </si>
  <si>
    <t>Patricia Wright</t>
  </si>
  <si>
    <t>patricia.wright@company.com</t>
  </si>
  <si>
    <t>555 531 5368</t>
  </si>
  <si>
    <t>william.martinez@@company.com</t>
  </si>
  <si>
    <t>555 270 5907</t>
  </si>
  <si>
    <t>2174093450</t>
  </si>
  <si>
    <t>7508461289</t>
  </si>
  <si>
    <t>anna_taylor@company.com</t>
  </si>
  <si>
    <t>928-729-8106</t>
  </si>
  <si>
    <t>elizabeth.anderson@companycom</t>
  </si>
  <si>
    <t>(555)308-7757</t>
  </si>
  <si>
    <t>richard.taylor@@company.com</t>
  </si>
  <si>
    <t>555 364 5551</t>
  </si>
  <si>
    <t>michael.garcia@@company.com</t>
  </si>
  <si>
    <t>5006927241</t>
  </si>
  <si>
    <t>robert taylor@company.com</t>
  </si>
  <si>
    <t>437-952-7388</t>
  </si>
  <si>
    <t>mary.taylor@companycom</t>
  </si>
  <si>
    <t>+1-555-799-5036</t>
  </si>
  <si>
    <t>mary_adams@company.com</t>
  </si>
  <si>
    <t>555 647 4872</t>
  </si>
  <si>
    <t>petermiller@company.com</t>
  </si>
  <si>
    <t>555 380 2312</t>
  </si>
  <si>
    <t>530-716-9973</t>
  </si>
  <si>
    <t>555 967 7722</t>
  </si>
  <si>
    <t>(555)476-3980</t>
  </si>
  <si>
    <t>mary wilson@company.com</t>
  </si>
  <si>
    <t>(555)366-3445</t>
  </si>
  <si>
    <t>patricia.taylor@@company.com</t>
  </si>
  <si>
    <t>+1-555-844-4102</t>
  </si>
  <si>
    <t>Barbara Thomas</t>
  </si>
  <si>
    <t>barbara.thomas@@company.com</t>
  </si>
  <si>
    <t>(555)236-6296</t>
  </si>
  <si>
    <t>+1-555-504-7076</t>
  </si>
  <si>
    <t>davido’connel@company.com</t>
  </si>
  <si>
    <t>+1-555-611-5603</t>
  </si>
  <si>
    <t>(555)603-3478</t>
  </si>
  <si>
    <t>elizabeth.wright@@company.com</t>
  </si>
  <si>
    <t>+1-555-966-3425</t>
  </si>
  <si>
    <t>robert johnson@company.com</t>
  </si>
  <si>
    <t>(555)885-3958</t>
  </si>
  <si>
    <t>barbarawright@company.com</t>
  </si>
  <si>
    <t>9778256009</t>
  </si>
  <si>
    <t>david.johnson@companycom</t>
  </si>
  <si>
    <t>917-156-2158</t>
  </si>
  <si>
    <t>James Lopez</t>
  </si>
  <si>
    <t>james_lopez@company.com</t>
  </si>
  <si>
    <t>+1-555-920-8083</t>
  </si>
  <si>
    <t>(555)374-7931</t>
  </si>
  <si>
    <t>david_taylor@company.com</t>
  </si>
  <si>
    <t>4614378003</t>
  </si>
  <si>
    <t>Peter Adams</t>
  </si>
  <si>
    <t>peter adams@company.com</t>
  </si>
  <si>
    <t>555 699 2339</t>
  </si>
  <si>
    <t>Mary O’Connel</t>
  </si>
  <si>
    <t>mary_o’connel@company.com</t>
  </si>
  <si>
    <t>(555)701-8454</t>
  </si>
  <si>
    <t>Elizabeth Smith</t>
  </si>
  <si>
    <t>elizabeth.smith@company.com</t>
  </si>
  <si>
    <t>555 989 8974</t>
  </si>
  <si>
    <t>john.johnson@companycom</t>
  </si>
  <si>
    <t>+1-555-765-4961</t>
  </si>
  <si>
    <t>John Wright</t>
  </si>
  <si>
    <t>john.wright@companycom</t>
  </si>
  <si>
    <t>6159709229</t>
  </si>
  <si>
    <t>john.wright@@company.com</t>
  </si>
  <si>
    <t>854-692-5764</t>
  </si>
  <si>
    <t>michael.o’connel@@company.com</t>
  </si>
  <si>
    <t>+1-555-559-8147</t>
  </si>
  <si>
    <t>+1-555-915-8738</t>
  </si>
  <si>
    <t>+1-555-410-4845</t>
  </si>
  <si>
    <t>+1-555-675-4671</t>
  </si>
  <si>
    <t>robert.brown@companycom</t>
  </si>
  <si>
    <t>918-568-2817</t>
  </si>
  <si>
    <t>anna garcia@company.com</t>
  </si>
  <si>
    <t>257-762-6959</t>
  </si>
  <si>
    <t>anna.o’connel@companycom</t>
  </si>
  <si>
    <t>555 531 4738</t>
  </si>
  <si>
    <t>555 890 3692</t>
  </si>
  <si>
    <t>Mary Garcia</t>
  </si>
  <si>
    <t>mary.garcia@companycom</t>
  </si>
  <si>
    <t>838-860-6139</t>
  </si>
  <si>
    <t>richardrodriguez@company.com</t>
  </si>
  <si>
    <t>(555)408-2380</t>
  </si>
  <si>
    <t>Anna Smith</t>
  </si>
  <si>
    <t>annasmith@company.com</t>
  </si>
  <si>
    <t>(555)952-5979</t>
  </si>
  <si>
    <t>patriciasmith@company.com</t>
  </si>
  <si>
    <t>8363081382</t>
  </si>
  <si>
    <t>jamesrodriguez@company.com</t>
  </si>
  <si>
    <t>555 535 3130</t>
  </si>
  <si>
    <t>william.davis@companycom</t>
  </si>
  <si>
    <t>555 247 9286</t>
  </si>
  <si>
    <t>susan.johnson@company.com</t>
  </si>
  <si>
    <t>2243782053</t>
  </si>
  <si>
    <t>patriciagarcia@company.com</t>
  </si>
  <si>
    <t>1008958266</t>
  </si>
  <si>
    <t>jennifer_garcia@company.com</t>
  </si>
  <si>
    <t>555 616 8551</t>
  </si>
  <si>
    <t>Elizabeth Wilson</t>
  </si>
  <si>
    <t>elizabeth_wilson@company.com</t>
  </si>
  <si>
    <t>4037437944</t>
  </si>
  <si>
    <t>868-587-9235</t>
  </si>
  <si>
    <t>richard.o’connel@@company.com</t>
  </si>
  <si>
    <t>555 284 7798</t>
  </si>
  <si>
    <t>anna_garcia@company.com</t>
  </si>
  <si>
    <t>(555)886-2468</t>
  </si>
  <si>
    <t>(555)153-4318</t>
  </si>
  <si>
    <t>jennifer.smith@company.com</t>
  </si>
  <si>
    <t>352-881-3057</t>
  </si>
  <si>
    <t>3715308155</t>
  </si>
  <si>
    <t>peter.garcia@companycom</t>
  </si>
  <si>
    <t>842-669-5578</t>
  </si>
  <si>
    <t>michael.smith@companycom</t>
  </si>
  <si>
    <t>(555)102-8807</t>
  </si>
  <si>
    <t>281-959-1138</t>
  </si>
  <si>
    <t>555 820 4425</t>
  </si>
  <si>
    <t>jennifer.lopez@companycom</t>
  </si>
  <si>
    <t>4674254156</t>
  </si>
  <si>
    <t>Robert Thomas</t>
  </si>
  <si>
    <t>robert.thomas@companycom</t>
  </si>
  <si>
    <t>+1-555-964-7666</t>
  </si>
  <si>
    <t>Mary Davis</t>
  </si>
  <si>
    <t>mary_davis@company.com</t>
  </si>
  <si>
    <t>299-442-2340</t>
  </si>
  <si>
    <t>John Taylor</t>
  </si>
  <si>
    <t>john taylor@company.com</t>
  </si>
  <si>
    <t>+1-555-210-8759</t>
  </si>
  <si>
    <t>richard wright@company.com</t>
  </si>
  <si>
    <t>(555)227-2401</t>
  </si>
  <si>
    <t>(555)970-7249</t>
  </si>
  <si>
    <t>686-229-9337</t>
  </si>
  <si>
    <t>patricia_anderson@company.com</t>
  </si>
  <si>
    <t>(555)697-9866</t>
  </si>
  <si>
    <t>555 449 4102</t>
  </si>
  <si>
    <t>michaelgarcia@company.com</t>
  </si>
  <si>
    <t>555 103 4654</t>
  </si>
  <si>
    <t>2891538480</t>
  </si>
  <si>
    <t>jamesjohnson@company.com</t>
  </si>
  <si>
    <t>(555)368-3855</t>
  </si>
  <si>
    <t>susan.martinez@@company.com</t>
  </si>
  <si>
    <t>928-481-3807</t>
  </si>
  <si>
    <t>(555)350-1756</t>
  </si>
  <si>
    <t>Jennifer Johnson</t>
  </si>
  <si>
    <t>jennifer.johnson@@company.com</t>
  </si>
  <si>
    <t>271-620-7358</t>
  </si>
  <si>
    <t>jennifer.taylor@companycom</t>
  </si>
  <si>
    <t>555 505 4581</t>
  </si>
  <si>
    <t>peter_brown@company.com</t>
  </si>
  <si>
    <t>555 736 6511</t>
  </si>
  <si>
    <t>michaeldavis@company.com</t>
  </si>
  <si>
    <t>+1-555-467-2350</t>
  </si>
  <si>
    <t>(555)437-5096</t>
  </si>
  <si>
    <t>william.wilson@@company.com</t>
  </si>
  <si>
    <t>3037696779</t>
  </si>
  <si>
    <t>richard_martinez@company.com</t>
  </si>
  <si>
    <t>2609324972</t>
  </si>
  <si>
    <t>jennifer.rodriguez@@company.com</t>
  </si>
  <si>
    <t>+1-555-406-6342</t>
  </si>
  <si>
    <t>(555)647-7331</t>
  </si>
  <si>
    <t>5541726840</t>
  </si>
  <si>
    <t>william lopez@company.com</t>
  </si>
  <si>
    <t>555 233 4369</t>
  </si>
  <si>
    <t>james.thomas@company.com</t>
  </si>
  <si>
    <t>555 638 6388</t>
  </si>
  <si>
    <t>Patricia Thomas</t>
  </si>
  <si>
    <t>patricia.thomas@@company.com</t>
  </si>
  <si>
    <t>555 568 7302</t>
  </si>
  <si>
    <t>robert.garcia@companycom</t>
  </si>
  <si>
    <t>555 873 2723</t>
  </si>
  <si>
    <t>mary.thomas@companycom</t>
  </si>
  <si>
    <t>(555)811-8567</t>
  </si>
  <si>
    <t>jennifer thomas@company.com</t>
  </si>
  <si>
    <t>(555)772-4969</t>
  </si>
  <si>
    <t>(555)379-3514</t>
  </si>
  <si>
    <t>william garcia@company.com</t>
  </si>
  <si>
    <t>555 344 4276</t>
  </si>
  <si>
    <t>3682951628</t>
  </si>
  <si>
    <t>susan.rodriguez@company.com</t>
  </si>
  <si>
    <t>(555)511-6181</t>
  </si>
  <si>
    <t>+1-555-794-3177</t>
  </si>
  <si>
    <t>williammiller@company.com</t>
  </si>
  <si>
    <t>+1-555-875-4990</t>
  </si>
  <si>
    <t>james.adams@companycom</t>
  </si>
  <si>
    <t>+1-555-759-1648</t>
  </si>
  <si>
    <t>linda miller@company.com</t>
  </si>
  <si>
    <t>552-744-1099</t>
  </si>
  <si>
    <t>james.miller@@company.com</t>
  </si>
  <si>
    <t>6596774914</t>
  </si>
  <si>
    <t>Peter Rodriguez</t>
  </si>
  <si>
    <t>peterrodriguez@company.com</t>
  </si>
  <si>
    <t>(555)582-8231</t>
  </si>
  <si>
    <t>390-484-8878</t>
  </si>
  <si>
    <t>Jennifer Wilson</t>
  </si>
  <si>
    <t>jennifer.wilson@companycom</t>
  </si>
  <si>
    <t>555 227 7304</t>
  </si>
  <si>
    <t>jennifer.rodriguez@companycom</t>
  </si>
  <si>
    <t>853-352-4970</t>
  </si>
  <si>
    <t>robert.miller@company.com</t>
  </si>
  <si>
    <t>759-828-7297</t>
  </si>
  <si>
    <t>211-751-6642</t>
  </si>
  <si>
    <t>555 302 8970</t>
  </si>
  <si>
    <t>mary_lopez@company.com</t>
  </si>
  <si>
    <t>(555)992-7697</t>
  </si>
  <si>
    <t>Linda Taylor</t>
  </si>
  <si>
    <t>linda.taylor@company.com</t>
  </si>
  <si>
    <t>+1-555-199-4458</t>
  </si>
  <si>
    <t>michael.miller@@company.com</t>
  </si>
  <si>
    <t>(555)725-1937</t>
  </si>
  <si>
    <t>linda rodriguez@company.com</t>
  </si>
  <si>
    <t>555 994 1749</t>
  </si>
  <si>
    <t>peter.rodriguez@companycom</t>
  </si>
  <si>
    <t>555 829 3345</t>
  </si>
  <si>
    <t>Richard Lopez</t>
  </si>
  <si>
    <t>richard.lopez@@company.com</t>
  </si>
  <si>
    <t>+1-555-274-2465</t>
  </si>
  <si>
    <t>robert.taylor@companycom</t>
  </si>
  <si>
    <t>+1-555-192-6452</t>
  </si>
  <si>
    <t>214-191-6574</t>
  </si>
  <si>
    <t>555 209 7476</t>
  </si>
  <si>
    <t>jenniferthomas@company.com</t>
  </si>
  <si>
    <t>+1-555-614-3022</t>
  </si>
  <si>
    <t>555 844 7419</t>
  </si>
  <si>
    <t>Employee Total Sales</t>
  </si>
  <si>
    <t>Sales Performance</t>
  </si>
  <si>
    <t>Performance Rating</t>
  </si>
  <si>
    <t>555-143-7936</t>
  </si>
  <si>
    <t>Quick lookup</t>
  </si>
  <si>
    <t>598-094-5846</t>
  </si>
  <si>
    <t>555-134-7974</t>
  </si>
  <si>
    <t>Employee</t>
  </si>
  <si>
    <t>555-667-2524</t>
  </si>
  <si>
    <t>217-888-4276</t>
  </si>
  <si>
    <t>555-748-9984</t>
  </si>
  <si>
    <t>james.anderson@company.com</t>
  </si>
  <si>
    <t xml:space="preserve">Total Sales </t>
  </si>
  <si>
    <t>john.anderson@company.com</t>
  </si>
  <si>
    <t>555-556-6759</t>
  </si>
  <si>
    <t>patricia.martinez@company.com</t>
  </si>
  <si>
    <t>555-463-5953</t>
  </si>
  <si>
    <t>william.thomas@company.com</t>
  </si>
  <si>
    <t>555-862-8749</t>
  </si>
  <si>
    <t>403-743-7944</t>
  </si>
  <si>
    <t>james.martinez@company.com</t>
  </si>
  <si>
    <t>402-224-5086</t>
  </si>
  <si>
    <t>555-570-5128</t>
  </si>
  <si>
    <t>david.adams@company.com</t>
  </si>
  <si>
    <t>michael.garcia@company.com</t>
  </si>
  <si>
    <t>500-692-7241</t>
  </si>
  <si>
    <t>mary.garcia@company.com</t>
  </si>
  <si>
    <t>876-195-6684</t>
  </si>
  <si>
    <t>555-379-3514</t>
  </si>
  <si>
    <t>susan.wright@company.com</t>
  </si>
  <si>
    <t>555-359-5826</t>
  </si>
  <si>
    <t>robert.taylor@company.com</t>
  </si>
  <si>
    <t>555-192-6452</t>
  </si>
  <si>
    <t>669-644-2664</t>
  </si>
  <si>
    <t>barbara.taylor@company.com</t>
  </si>
  <si>
    <t>555-863-6419</t>
  </si>
  <si>
    <t>555-531-4738</t>
  </si>
  <si>
    <t>555-257-1893</t>
  </si>
  <si>
    <t>jennifer.wilson@company.com</t>
  </si>
  <si>
    <t>555-227-7304</t>
  </si>
  <si>
    <t>303-769-6779</t>
  </si>
  <si>
    <t>william.davis@company.com</t>
  </si>
  <si>
    <t>555-688-1060</t>
  </si>
  <si>
    <t>584-915-9641</t>
  </si>
  <si>
    <t>peter.martinez@company.com</t>
  </si>
  <si>
    <t>555-611-5603</t>
  </si>
  <si>
    <t>peter.o’connel@company.com</t>
  </si>
  <si>
    <t>555-613-3471</t>
  </si>
  <si>
    <t>555-978-3634</t>
  </si>
  <si>
    <t>robert.lopez@company.com</t>
  </si>
  <si>
    <t>479-216-5664</t>
  </si>
  <si>
    <t>555-887-3218</t>
  </si>
  <si>
    <t>234-209-4845</t>
  </si>
  <si>
    <t>555-406-6342</t>
  </si>
  <si>
    <t>555-696-3426</t>
  </si>
  <si>
    <t>555-320-8278</t>
  </si>
  <si>
    <t>jennifer.wright@company.com</t>
  </si>
  <si>
    <t>555-766-5425</t>
  </si>
  <si>
    <t>555-154-2600</t>
  </si>
  <si>
    <t>barbara.martinez@company.com</t>
  </si>
  <si>
    <t>555-350-1756</t>
  </si>
  <si>
    <t>william.brown@company.com</t>
  </si>
  <si>
    <t>945-931-8641</t>
  </si>
  <si>
    <t>555-582-8231</t>
  </si>
  <si>
    <t>921-306-3154</t>
  </si>
  <si>
    <t>555-677-2009</t>
  </si>
  <si>
    <t>555-221-7818</t>
  </si>
  <si>
    <t>michael.wright@company.com</t>
  </si>
  <si>
    <t>555-528-9773</t>
  </si>
  <si>
    <t>555-701-8454</t>
  </si>
  <si>
    <t>555-318-9375</t>
  </si>
  <si>
    <t>555-449-4102</t>
  </si>
  <si>
    <t>555-907-6122</t>
  </si>
  <si>
    <t>103-926-2289</t>
  </si>
  <si>
    <t>555-697-9866</t>
  </si>
  <si>
    <t>555-639-3010</t>
  </si>
  <si>
    <t>360-092-9253</t>
  </si>
  <si>
    <t>david.davis@company.com</t>
  </si>
  <si>
    <t>746-072-8316</t>
  </si>
  <si>
    <t>peter.miller@company.com</t>
  </si>
  <si>
    <t>555-661-7540</t>
  </si>
  <si>
    <t>555-845-4648</t>
  </si>
  <si>
    <t>555-115-9086</t>
  </si>
  <si>
    <t>555-964-2657</t>
  </si>
  <si>
    <t>507-078-0669</t>
  </si>
  <si>
    <t>555-516-8793</t>
  </si>
  <si>
    <t>555-814-4617</t>
  </si>
  <si>
    <t>555-368-3378</t>
  </si>
  <si>
    <t>555-514-7361</t>
  </si>
  <si>
    <t>patricia.adams@company.com</t>
  </si>
  <si>
    <t>555-564-9399</t>
  </si>
  <si>
    <t>555-270-5907</t>
  </si>
  <si>
    <t>555-510-9755</t>
  </si>
  <si>
    <t>richard.lopez@company.com</t>
  </si>
  <si>
    <t>555-274-2465</t>
  </si>
  <si>
    <t>555-763-5215</t>
  </si>
  <si>
    <t>555-999-3219</t>
  </si>
  <si>
    <t>555-380-2312</t>
  </si>
  <si>
    <t>555-878-8231</t>
  </si>
  <si>
    <t>555-206-7347</t>
  </si>
  <si>
    <t>anna.taylor@company.com</t>
  </si>
  <si>
    <t>555-364-4637</t>
  </si>
  <si>
    <t>605-698-9774</t>
  </si>
  <si>
    <t>415-753-1471</t>
  </si>
  <si>
    <t>susan.o’connel@company.com</t>
  </si>
  <si>
    <t>555-655-6629</t>
  </si>
  <si>
    <t>555-786-6759</t>
  </si>
  <si>
    <t>michael.smith@company.com</t>
  </si>
  <si>
    <t>555-102-8807</t>
  </si>
  <si>
    <t>555-479-1711</t>
  </si>
  <si>
    <t>patricia.wilson@company.com</t>
  </si>
  <si>
    <t>555-186-8175</t>
  </si>
  <si>
    <t>555-945-1889</t>
  </si>
  <si>
    <t>barbara.smith@company.com</t>
  </si>
  <si>
    <t>555-459-1924</t>
  </si>
  <si>
    <t>michael.taylor@company.com</t>
  </si>
  <si>
    <t>555-180-1916</t>
  </si>
  <si>
    <t>555-226-8633</t>
  </si>
  <si>
    <t>555-904-4629</t>
  </si>
  <si>
    <t>555-983-9842</t>
  </si>
  <si>
    <t>555-308-9866</t>
  </si>
  <si>
    <t>977-825-6009</t>
  </si>
  <si>
    <t>david.miller@company.com</t>
  </si>
  <si>
    <t>555-261-2210</t>
  </si>
  <si>
    <t>555-448-4411</t>
  </si>
  <si>
    <t>555-704-7156</t>
  </si>
  <si>
    <t>555-646-8258</t>
  </si>
  <si>
    <t>217-409-3450</t>
  </si>
  <si>
    <t>555-955-2047</t>
  </si>
  <si>
    <t>susan.anderson@company.com</t>
  </si>
  <si>
    <t>873-702-5391</t>
  </si>
  <si>
    <t>patricia.rodriguez@company.com</t>
  </si>
  <si>
    <t>555-989-3745</t>
  </si>
  <si>
    <t>555-247-9286</t>
  </si>
  <si>
    <t>555-706-8584</t>
  </si>
  <si>
    <t>robert.thomas@company.com</t>
  </si>
  <si>
    <t>555-964-7666</t>
  </si>
  <si>
    <t>555-243-9255</t>
  </si>
  <si>
    <t>555-363-9813</t>
  </si>
  <si>
    <t>420-451-1084</t>
  </si>
  <si>
    <t>555-915-8738</t>
  </si>
  <si>
    <t>susan.garcia@company.com</t>
  </si>
  <si>
    <t>779-062-5760</t>
  </si>
  <si>
    <t>555-853-4048</t>
  </si>
  <si>
    <t>555-410-4845</t>
  </si>
  <si>
    <t>mary.johnson@company.com</t>
  </si>
  <si>
    <t>555-437-5096</t>
  </si>
  <si>
    <t>555-133-8478</t>
  </si>
  <si>
    <t>michael.rodriguez@company.com</t>
  </si>
  <si>
    <t>555-527-4938</t>
  </si>
  <si>
    <t>555-742-8546</t>
  </si>
  <si>
    <t>555-305-3275</t>
  </si>
  <si>
    <t>555-857-2625</t>
  </si>
  <si>
    <t>anna.garcia@company.com</t>
  </si>
  <si>
    <t>555-104-9948</t>
  </si>
  <si>
    <t>555-446-1344</t>
  </si>
  <si>
    <t>555-423-6080</t>
  </si>
  <si>
    <t>david.johnson@company.com</t>
  </si>
  <si>
    <t>michael.miller@company.com</t>
  </si>
  <si>
    <t>555-725-1937</t>
  </si>
  <si>
    <t>555-794-3177</t>
  </si>
  <si>
    <t>barbara.o’connel@company.com</t>
  </si>
  <si>
    <t>555-624-7462</t>
  </si>
  <si>
    <t>john.wright@company.com</t>
  </si>
  <si>
    <t>615-970-9229</t>
  </si>
  <si>
    <t>555-756-9346</t>
  </si>
  <si>
    <t>555-957-8581</t>
  </si>
  <si>
    <t>941-056-9618</t>
  </si>
  <si>
    <t>john.thomas@company.com</t>
  </si>
  <si>
    <t>555-890-3692</t>
  </si>
  <si>
    <t>555-640-7932</t>
  </si>
  <si>
    <t>102-823-0917</t>
  </si>
  <si>
    <t>289-153-8480</t>
  </si>
  <si>
    <t>555-189-8924</t>
  </si>
  <si>
    <t>robert.wilson@company.com</t>
  </si>
  <si>
    <t>555-175-9808</t>
  </si>
  <si>
    <t>555-616-8551</t>
  </si>
  <si>
    <t>susan.wilson@company.com</t>
  </si>
  <si>
    <t>451-088-6562</t>
  </si>
  <si>
    <t>555-115-3361</t>
  </si>
  <si>
    <t>555-338-5759</t>
  </si>
  <si>
    <t>555-896-7256</t>
  </si>
  <si>
    <t>260-932-4972</t>
  </si>
  <si>
    <t>555-274-3868</t>
  </si>
  <si>
    <t>linda.adams@company.com</t>
  </si>
  <si>
    <t>555-915-2857</t>
  </si>
  <si>
    <t>barbara.anderson@company.com</t>
  </si>
  <si>
    <t>555-447-4060</t>
  </si>
  <si>
    <t>555-898-7658</t>
  </si>
  <si>
    <t>404-745-3184</t>
  </si>
  <si>
    <t>555-761-2343</t>
  </si>
  <si>
    <t>555-806-9470</t>
  </si>
  <si>
    <t>peter.rodriguez@company.com</t>
  </si>
  <si>
    <t>555-829-3345</t>
  </si>
  <si>
    <t>anna.martinez@company.com</t>
  </si>
  <si>
    <t>555-153-3549</t>
  </si>
  <si>
    <t>555-736-6511</t>
  </si>
  <si>
    <t>555-155-6966</t>
  </si>
  <si>
    <t>555-967-7722</t>
  </si>
  <si>
    <t>555-648-5697</t>
  </si>
  <si>
    <t>james.taylor@company.com</t>
  </si>
  <si>
    <t>555-374-7931</t>
  </si>
  <si>
    <t>555-699-2339</t>
  </si>
  <si>
    <t>555-913-6555</t>
  </si>
  <si>
    <t>555-446-3868</t>
  </si>
  <si>
    <t>555-954-5314</t>
  </si>
  <si>
    <t>555-611-3734</t>
  </si>
  <si>
    <t>jennifer.lopez@company.com</t>
  </si>
  <si>
    <t>467-425-4156</t>
  </si>
  <si>
    <t>555-580-6246</t>
  </si>
  <si>
    <t>555-523-2422</t>
  </si>
  <si>
    <t>913-693-4170</t>
  </si>
  <si>
    <t>555-227-2401</t>
  </si>
  <si>
    <t>john.davis@company.com</t>
  </si>
  <si>
    <t>555-987-9027</t>
  </si>
  <si>
    <t>555-270-8272</t>
  </si>
  <si>
    <t>180-900-0407</t>
  </si>
  <si>
    <t>555-920-8083</t>
  </si>
  <si>
    <t>john.wilson@company.com</t>
  </si>
  <si>
    <t>540-690-6896</t>
  </si>
  <si>
    <t>555-227-7201</t>
  </si>
  <si>
    <t>555-938-7703</t>
  </si>
  <si>
    <t>555-614-3022</t>
  </si>
  <si>
    <t>555-214-5808</t>
  </si>
  <si>
    <t>555-879-7434</t>
  </si>
  <si>
    <t>jennifer.taylor@company.com</t>
  </si>
  <si>
    <t>555-505-4581</t>
  </si>
  <si>
    <t>283-896-3536</t>
  </si>
  <si>
    <t>anna.miller@company.com</t>
  </si>
  <si>
    <t>555-581-4796</t>
  </si>
  <si>
    <t>555-885-1100</t>
  </si>
  <si>
    <t>555-932-2228</t>
  </si>
  <si>
    <t>elizabeth.wright@company.com</t>
  </si>
  <si>
    <t>555-966-3425</t>
  </si>
  <si>
    <t>jennifer.johnson@company.com</t>
  </si>
  <si>
    <t>555-603-8056</t>
  </si>
  <si>
    <t>555-533-6990</t>
  </si>
  <si>
    <t>555-844-7419</t>
  </si>
  <si>
    <t>john.o’connel@company.com</t>
  </si>
  <si>
    <t>555-721-2417</t>
  </si>
  <si>
    <t>peter.lopez@company.com</t>
  </si>
  <si>
    <t>555-692-1651</t>
  </si>
  <si>
    <t>555-408-2380</t>
  </si>
  <si>
    <t>555-803-4228</t>
  </si>
  <si>
    <t>555-970-7249</t>
  </si>
  <si>
    <t>555-210-7790</t>
  </si>
  <si>
    <t>555-805-9582</t>
  </si>
  <si>
    <t>555-652-3167</t>
  </si>
  <si>
    <t>patricia.thomas@company.com</t>
  </si>
  <si>
    <t>555-568-7302</t>
  </si>
  <si>
    <t>555-978-9428</t>
  </si>
  <si>
    <t>john.johnson@company.com</t>
  </si>
  <si>
    <t>555-765-4961</t>
  </si>
  <si>
    <t>259-158-9823</t>
  </si>
  <si>
    <t>555-348-4350</t>
  </si>
  <si>
    <t>555-492-3503</t>
  </si>
  <si>
    <t>mary.thomas@company.com</t>
  </si>
  <si>
    <t>555-811-8567</t>
  </si>
  <si>
    <t>817-836-1487</t>
  </si>
  <si>
    <t>555-366-3848</t>
  </si>
  <si>
    <t>213-818-5235</t>
  </si>
  <si>
    <t>james.o’connel@company.com</t>
  </si>
  <si>
    <t>555-820-4425</t>
  </si>
  <si>
    <t>robert.brown@company.com</t>
  </si>
  <si>
    <t>555-923-6399</t>
  </si>
  <si>
    <t>555-511-6181</t>
  </si>
  <si>
    <t>555-638-6388</t>
  </si>
  <si>
    <t>555-876-8001</t>
  </si>
  <si>
    <t>555-749-7939</t>
  </si>
  <si>
    <t>richard.taylor@company.com</t>
  </si>
  <si>
    <t>555-914-9756</t>
  </si>
  <si>
    <t>mary.taylor@company.com</t>
  </si>
  <si>
    <t>555-799-5036</t>
  </si>
  <si>
    <t>555-254-1104</t>
  </si>
  <si>
    <t>elizabeth.anderson@company.com</t>
  </si>
  <si>
    <t>555-302-8970</t>
  </si>
  <si>
    <t>461-810-5265</t>
  </si>
  <si>
    <t>555-608-3465</t>
  </si>
  <si>
    <t>555-885-3958</t>
  </si>
  <si>
    <t>555-652-9689</t>
  </si>
  <si>
    <t>555-610-1438</t>
  </si>
  <si>
    <t>555-169-7269</t>
  </si>
  <si>
    <t>555-464-3557</t>
  </si>
  <si>
    <t>555-213-7274</t>
  </si>
  <si>
    <t>555-975-2951</t>
  </si>
  <si>
    <t>363-636-6799</t>
  </si>
  <si>
    <t>555-153-4318</t>
  </si>
  <si>
    <t>555-199-4458</t>
  </si>
  <si>
    <t>peter.thomas@company.com</t>
  </si>
  <si>
    <t>474-434-8135</t>
  </si>
  <si>
    <t>555-884-4809</t>
  </si>
  <si>
    <t>485-955-1800</t>
  </si>
  <si>
    <t>555-467-2350</t>
  </si>
  <si>
    <t>555-744-4185</t>
  </si>
  <si>
    <t>james.rodriguez@company.com</t>
  </si>
  <si>
    <t>466-039-0742</t>
  </si>
  <si>
    <t>555-994-1749</t>
  </si>
  <si>
    <t>555-926-9666</t>
  </si>
  <si>
    <t>555-364-5551</t>
  </si>
  <si>
    <t>542-504-4246</t>
  </si>
  <si>
    <t>555-730-5930</t>
  </si>
  <si>
    <t>peter.johnson@company.com</t>
  </si>
  <si>
    <t>555-913-3979</t>
  </si>
  <si>
    <t>750-846-1289</t>
  </si>
  <si>
    <t>william.wright@company.com</t>
  </si>
  <si>
    <t>555-464-8795</t>
  </si>
  <si>
    <t>william.garcia@company.com</t>
  </si>
  <si>
    <t>233-103-9957</t>
  </si>
  <si>
    <t>555-457-4624</t>
  </si>
  <si>
    <t>555-957-9022</t>
  </si>
  <si>
    <t>555-895-2022</t>
  </si>
  <si>
    <t>555-482-3316</t>
  </si>
  <si>
    <t>555-431-2899</t>
  </si>
  <si>
    <t>elizabeth.thomas@company.com</t>
  </si>
  <si>
    <t>371-530-8155</t>
  </si>
  <si>
    <t>linda.garcia@company.com</t>
  </si>
  <si>
    <t>555-368-3855</t>
  </si>
  <si>
    <t>susan.lopez@company.com</t>
  </si>
  <si>
    <t>555-575-4342</t>
  </si>
  <si>
    <t>792-051-6981</t>
  </si>
  <si>
    <t>william.rodriguez@company.com</t>
  </si>
  <si>
    <t>david.lopez@company.com</t>
  </si>
  <si>
    <t>555-415-6071</t>
  </si>
  <si>
    <t>555-535-3130</t>
  </si>
  <si>
    <t>555-233-4369</t>
  </si>
  <si>
    <t>555-320-6514</t>
  </si>
  <si>
    <t>mary.adams@company.com</t>
  </si>
  <si>
    <t>david.taylor@company.com</t>
  </si>
  <si>
    <t>555-270-9022</t>
  </si>
  <si>
    <t>555-590-1656</t>
  </si>
  <si>
    <t>555-141-3185</t>
  </si>
  <si>
    <t>555-469-2745</t>
  </si>
  <si>
    <t>555-476-3980</t>
  </si>
  <si>
    <t>555-210-8759</t>
  </si>
  <si>
    <t>535-474-7485</t>
  </si>
  <si>
    <t>713-890-2282</t>
  </si>
  <si>
    <t>555-871-1203</t>
  </si>
  <si>
    <t>555-684-7366</t>
  </si>
  <si>
    <t>555-525-8484</t>
  </si>
  <si>
    <t>555-382-4109</t>
  </si>
  <si>
    <t>555-391-1267</t>
  </si>
  <si>
    <t>758-134-9462</t>
  </si>
  <si>
    <t>555-586-2849</t>
  </si>
  <si>
    <t>555-157-7412</t>
  </si>
  <si>
    <t>555-603-3478</t>
  </si>
  <si>
    <t>780-399-0970</t>
  </si>
  <si>
    <t>635-375-8928</t>
  </si>
  <si>
    <t>233-590-1990</t>
  </si>
  <si>
    <t>555-223-9943</t>
  </si>
  <si>
    <t>555-819-6062</t>
  </si>
  <si>
    <t>john.brown@company.com</t>
  </si>
  <si>
    <t>872-219-9922</t>
  </si>
  <si>
    <t>peter.davis@company.com</t>
  </si>
  <si>
    <t>555-639-8831</t>
  </si>
  <si>
    <t>555-408-5397</t>
  </si>
  <si>
    <t>555-952-5979</t>
  </si>
  <si>
    <t>555-363-9005</t>
  </si>
  <si>
    <t>555-209-7476</t>
  </si>
  <si>
    <t>555-921-6772</t>
  </si>
  <si>
    <t>555-119-8225</t>
  </si>
  <si>
    <t>555-647-4872</t>
  </si>
  <si>
    <t>patricia.taylor@company.com</t>
  </si>
  <si>
    <t>555-844-4102</t>
  </si>
  <si>
    <t>555-978-1579</t>
  </si>
  <si>
    <t>961-153-7583</t>
  </si>
  <si>
    <t>555-656-6285</t>
  </si>
  <si>
    <t>555-807-8800</t>
  </si>
  <si>
    <t>555-966-4909</t>
  </si>
  <si>
    <t>james.miller@company.com</t>
  </si>
  <si>
    <t>659-677-4914</t>
  </si>
  <si>
    <t>555-103-4654</t>
  </si>
  <si>
    <t>604-740-5755</t>
  </si>
  <si>
    <t>934-373-0920</t>
  </si>
  <si>
    <t>555-960-3967</t>
  </si>
  <si>
    <t>555-923-5641</t>
  </si>
  <si>
    <t>555-863-8785</t>
  </si>
  <si>
    <t>peter.wright@company.com</t>
  </si>
  <si>
    <t>555-761-2462</t>
  </si>
  <si>
    <t>linda.rodriguez@company.com</t>
  </si>
  <si>
    <t>555-298-5819</t>
  </si>
  <si>
    <t>555-224-1472</t>
  </si>
  <si>
    <t>839-336-9940</t>
  </si>
  <si>
    <t>michael.lopez@company.com</t>
  </si>
  <si>
    <t>555-567-5453</t>
  </si>
  <si>
    <t>256-772-9816</t>
  </si>
  <si>
    <t>555-337-9515</t>
  </si>
  <si>
    <t>555-675-4671</t>
  </si>
  <si>
    <t>555-504-7076</t>
  </si>
  <si>
    <t>patricia.anderson@company.com</t>
  </si>
  <si>
    <t>502-906-4216</t>
  </si>
  <si>
    <t>555-365-5050</t>
  </si>
  <si>
    <t>555-149-1828</t>
  </si>
  <si>
    <t>555-744-1691</t>
  </si>
  <si>
    <t>david.thomas@company.com</t>
  </si>
  <si>
    <t>555-387-3236</t>
  </si>
  <si>
    <t>barbara.johnson@company.com</t>
  </si>
  <si>
    <t>555-870-3017</t>
  </si>
  <si>
    <t>555-402-1894</t>
  </si>
  <si>
    <t>242-539-9664</t>
  </si>
  <si>
    <t>555-352-4970</t>
  </si>
  <si>
    <t>james.smith@company.com</t>
  </si>
  <si>
    <t>555-851-5076</t>
  </si>
  <si>
    <t>susan.smith@company.com</t>
  </si>
  <si>
    <t>555-708-8308</t>
  </si>
  <si>
    <t>555-582-8133</t>
  </si>
  <si>
    <t>anna.davis@company.com</t>
  </si>
  <si>
    <t>555-711-1833</t>
  </si>
  <si>
    <t>555-174-2153</t>
  </si>
  <si>
    <t>555-647-7331</t>
  </si>
  <si>
    <t>barbara.adams@company.com</t>
  </si>
  <si>
    <t>992-594-9659</t>
  </si>
  <si>
    <t>915-156-0334</t>
  </si>
  <si>
    <t>988-376-0207</t>
  </si>
  <si>
    <t>555-920-1994</t>
  </si>
  <si>
    <t>654-696-4238</t>
  </si>
  <si>
    <t>821-761-1860</t>
  </si>
  <si>
    <t>555-155-9613</t>
  </si>
  <si>
    <t>836-308-1382</t>
  </si>
  <si>
    <t>555-835-3352</t>
  </si>
  <si>
    <t>887-565-1818</t>
  </si>
  <si>
    <t>555-570-8277</t>
  </si>
  <si>
    <t>733-385-4872</t>
  </si>
  <si>
    <t>436-841-3994</t>
  </si>
  <si>
    <t>555-288-4053</t>
  </si>
  <si>
    <t>555-445-1701</t>
  </si>
  <si>
    <t>310-492-9112</t>
  </si>
  <si>
    <t>patricia.miller@company.com</t>
  </si>
  <si>
    <t>734-003-6327</t>
  </si>
  <si>
    <t>848-062-2107</t>
  </si>
  <si>
    <t>michael.o’connel@company.com</t>
  </si>
  <si>
    <t>555-559-8147</t>
  </si>
  <si>
    <t>555-497-8391</t>
  </si>
  <si>
    <t>jennifer.brown@company.com</t>
  </si>
  <si>
    <t>555-696-9631</t>
  </si>
  <si>
    <t>826-172-2027</t>
  </si>
  <si>
    <t>555-952-4180</t>
  </si>
  <si>
    <t>149-160-3670</t>
  </si>
  <si>
    <t>555-967-7580</t>
  </si>
  <si>
    <t>555-812-6629</t>
  </si>
  <si>
    <t>555-185-8022</t>
  </si>
  <si>
    <t>554-172-6840</t>
  </si>
  <si>
    <t>555-379-8361</t>
  </si>
  <si>
    <t>555-997-5190</t>
  </si>
  <si>
    <t>586-998-2921</t>
  </si>
  <si>
    <t>richard.brown@company.com</t>
  </si>
  <si>
    <t>555-396-9037</t>
  </si>
  <si>
    <t>945-420-7717</t>
  </si>
  <si>
    <t>555-636-9151</t>
  </si>
  <si>
    <t>555-955-3449</t>
  </si>
  <si>
    <t>461-437-8003</t>
  </si>
  <si>
    <t>555-651-9947</t>
  </si>
  <si>
    <t>555-366-3445</t>
  </si>
  <si>
    <t>100-895-8266</t>
  </si>
  <si>
    <t>555-759-1648</t>
  </si>
  <si>
    <t>533-476-9475</t>
  </si>
  <si>
    <t>555-888-4401</t>
  </si>
  <si>
    <t>555-435-2421</t>
  </si>
  <si>
    <t>555-133-9412</t>
  </si>
  <si>
    <t>308-270-9180</t>
  </si>
  <si>
    <t>555-989-8974</t>
  </si>
  <si>
    <t>556-301-8598</t>
  </si>
  <si>
    <t>555-551-5266</t>
  </si>
  <si>
    <t>555-954-2341</t>
  </si>
  <si>
    <t>555-531-5368</t>
  </si>
  <si>
    <t>mary.lopez@company.com</t>
  </si>
  <si>
    <t>555-439-2436</t>
  </si>
  <si>
    <t>555-583-4187</t>
  </si>
  <si>
    <t>945-157-7335</t>
  </si>
  <si>
    <t>555-741-8607</t>
  </si>
  <si>
    <t>378-043-9666</t>
  </si>
  <si>
    <t>555-393-8942</t>
  </si>
  <si>
    <t>555-373-7502</t>
  </si>
  <si>
    <t>555-417-7171</t>
  </si>
  <si>
    <t>555-726-1472</t>
  </si>
  <si>
    <t>211-540-6331</t>
  </si>
  <si>
    <t>555-851-4193</t>
  </si>
  <si>
    <t>jennifer.anderson@company.com</t>
  </si>
  <si>
    <t>555-678-1505</t>
  </si>
  <si>
    <t>418-037-8138</t>
  </si>
  <si>
    <t>555-344-4276</t>
  </si>
  <si>
    <t>368-295-1628</t>
  </si>
  <si>
    <t>555-258-5516</t>
  </si>
  <si>
    <t>555-294-9786</t>
  </si>
  <si>
    <t>linda.martinez@company.com</t>
  </si>
  <si>
    <t>555-111-3571</t>
  </si>
  <si>
    <t>555-190-6500</t>
  </si>
  <si>
    <t>555-875-4990</t>
  </si>
  <si>
    <t>204-134-9374</t>
  </si>
  <si>
    <t>555-258-9247</t>
  </si>
  <si>
    <t>555-652-4721</t>
  </si>
  <si>
    <t>555-772-4969</t>
  </si>
  <si>
    <t>555-488-7464</t>
  </si>
  <si>
    <t>robert.o’connel@company.com</t>
  </si>
  <si>
    <t>555-205-2565</t>
  </si>
  <si>
    <t>555-886-2468</t>
  </si>
  <si>
    <t>jennifer.davis@company.com</t>
  </si>
  <si>
    <t>555-116-4394</t>
  </si>
  <si>
    <t>555-447-8430</t>
  </si>
  <si>
    <t>555-873-2723</t>
  </si>
  <si>
    <t>barbara.miller@company.com</t>
  </si>
  <si>
    <t>362-586-2062</t>
  </si>
  <si>
    <t>555-472-7108</t>
  </si>
  <si>
    <t>david.wilson@company.com</t>
  </si>
  <si>
    <t>555-971-6161</t>
  </si>
  <si>
    <t>944-730-4615</t>
  </si>
  <si>
    <t>946-275-0778</t>
  </si>
  <si>
    <t>barbara.thomas@company.com</t>
  </si>
  <si>
    <t>555-236-6296</t>
  </si>
  <si>
    <t>barbara.lopez@company.com</t>
  </si>
  <si>
    <t>224-378-2053</t>
  </si>
  <si>
    <t>555-568-3346</t>
  </si>
  <si>
    <t>555-119-8532</t>
  </si>
  <si>
    <t>555-402-3627</t>
  </si>
  <si>
    <t>555-705-1920</t>
  </si>
  <si>
    <t>555-243-8310</t>
  </si>
  <si>
    <t>555-639-6053</t>
  </si>
  <si>
    <t>555-176-9962</t>
  </si>
  <si>
    <t>555-316-6155</t>
  </si>
  <si>
    <t>555-992-7697</t>
  </si>
  <si>
    <t>elizabeth.lopez@company.com</t>
  </si>
  <si>
    <t>555-907-4695</t>
  </si>
  <si>
    <t>447-164-2620</t>
  </si>
  <si>
    <t>555-308-7757</t>
  </si>
  <si>
    <t>richard.o’connel@company.com</t>
  </si>
  <si>
    <t>555-284-7798</t>
  </si>
  <si>
    <t>555-496-7895</t>
  </si>
  <si>
    <t>555-125-6374</t>
  </si>
  <si>
    <t>Row Labels</t>
  </si>
  <si>
    <t>Sum of Employee Total Sales</t>
  </si>
  <si>
    <t>Sum of Employee ID</t>
  </si>
  <si>
    <t>Grand Total</t>
  </si>
  <si>
    <t>Sum of Sales (Q1)</t>
  </si>
  <si>
    <t>Sum of Sales (Q2)</t>
  </si>
  <si>
    <t>Sum of Sales (Q3)</t>
  </si>
  <si>
    <t>Sum of Sales (Q4)</t>
  </si>
  <si>
    <t>David O'Connel</t>
  </si>
  <si>
    <t>barbaraoconnel@company.com</t>
  </si>
  <si>
    <t>elizabethmiller@company.com</t>
  </si>
  <si>
    <t>davidoconnel@company.com</t>
  </si>
  <si>
    <t>patriciamartinez@company.com</t>
  </si>
  <si>
    <t>jamesmartinez@company.com</t>
  </si>
  <si>
    <t>susano’connel@company.com</t>
  </si>
  <si>
    <t>elizabethrodriguez@company.com</t>
  </si>
  <si>
    <t>peterwilson@company.com</t>
  </si>
  <si>
    <t>annagarcia@company.com</t>
  </si>
  <si>
    <t>barbararodriguez@company.com</t>
  </si>
  <si>
    <t>marytaylor@company.com</t>
  </si>
  <si>
    <t>johnwilson@company.com</t>
  </si>
  <si>
    <t>peterthomas@company.com</t>
  </si>
  <si>
    <t>barbarawilson@company.com</t>
  </si>
  <si>
    <t>johndavis@company.com</t>
  </si>
  <si>
    <t>elizabethgarcia@company.com</t>
  </si>
  <si>
    <t>johnmiller@company.com</t>
  </si>
  <si>
    <t>jennifertaylor@company.com</t>
  </si>
  <si>
    <t>susantaylor@company.com</t>
  </si>
  <si>
    <t>peteradams@company.com</t>
  </si>
  <si>
    <t>michaelbrown@company.com</t>
  </si>
  <si>
    <t>richardwright@company.com</t>
  </si>
  <si>
    <t>robertadams@company.com</t>
  </si>
  <si>
    <t>michaelwilson@company.com</t>
  </si>
  <si>
    <t>elizabethlopez@company.com</t>
  </si>
  <si>
    <t>davidjohnson@company.com</t>
  </si>
  <si>
    <t>maryrodriguez@company.com</t>
  </si>
  <si>
    <t>marywright@company.com</t>
  </si>
  <si>
    <t>jennifersmith@company.com</t>
  </si>
  <si>
    <t>jamesthomas@company.com</t>
  </si>
  <si>
    <t>richardo’connel@company.com</t>
  </si>
  <si>
    <t>lindao’connel@company.com</t>
  </si>
  <si>
    <t>williamjohnson@company.com</t>
  </si>
  <si>
    <t>susanrodriguez@company.com</t>
  </si>
  <si>
    <t>marywilson@company.com</t>
  </si>
  <si>
    <t>annawilson@company.com</t>
  </si>
  <si>
    <t>robertsmith@company.com</t>
  </si>
  <si>
    <t>elizabethmartinez@company.com</t>
  </si>
  <si>
    <t>annathomas@company.com</t>
  </si>
  <si>
    <t>richardanderson@company.com</t>
  </si>
  <si>
    <t>michaelthomas@company.com</t>
  </si>
  <si>
    <t>lindarodriguez@company.com</t>
  </si>
  <si>
    <t>patricialopez@company.com</t>
  </si>
  <si>
    <t>annabrown@company.com</t>
  </si>
  <si>
    <t>barbarao’connel@company.com</t>
  </si>
  <si>
    <t>barbaralopez@company.com</t>
  </si>
  <si>
    <t>johntaylor@company.com</t>
  </si>
  <si>
    <t>richardtaylor@company.com</t>
  </si>
  <si>
    <t>jennifergarcia@company.com</t>
  </si>
  <si>
    <t>annamiller@company.com</t>
  </si>
  <si>
    <t>maryanderson@company.com</t>
  </si>
  <si>
    <t>marylopez@company.com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</si>
</sst>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sz val="11"/>
      <name val="Calibri"/>
      <family val="2"/>
      <scheme val="minor"/>
    </font>
    <font>
      <sz val="13"/>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9" tint="0.79998168889431442"/>
        <bgColor indexed="65"/>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44" fontId="2" fillId="0" borderId="0" applyFont="0" applyFill="0" applyBorder="0" applyAlignment="0" applyProtection="0"/>
    <xf numFmtId="0" fontId="2" fillId="3" borderId="0" applyNumberFormat="0" applyBorder="0" applyAlignment="0" applyProtection="0"/>
    <xf numFmtId="0" fontId="6" fillId="0" borderId="0" applyNumberFormat="0" applyFill="0" applyBorder="0" applyAlignment="0" applyProtection="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164" fontId="0" fillId="0" borderId="0" xfId="1" applyNumberFormat="1" applyFont="1"/>
    <xf numFmtId="0" fontId="1" fillId="2" borderId="0" xfId="0" applyFont="1" applyFill="1"/>
    <xf numFmtId="0" fontId="4" fillId="0" borderId="0" xfId="0" applyFont="1"/>
    <xf numFmtId="0" fontId="1" fillId="0" borderId="2" xfId="0"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1" fontId="0" fillId="0" borderId="0" xfId="1" applyNumberFormat="1" applyFont="1"/>
    <xf numFmtId="0" fontId="5" fillId="3" borderId="0" xfId="2" applyFont="1"/>
    <xf numFmtId="0" fontId="5" fillId="0" borderId="0" xfId="0" applyFont="1"/>
    <xf numFmtId="0" fontId="5" fillId="3" borderId="0" xfId="2" applyFont="1" applyAlignment="1">
      <alignment horizontal="left"/>
    </xf>
    <xf numFmtId="164" fontId="5" fillId="3" borderId="0" xfId="2" applyNumberFormat="1" applyFont="1"/>
    <xf numFmtId="0" fontId="6" fillId="0" borderId="0" xfId="3"/>
    <xf numFmtId="1" fontId="0" fillId="0" borderId="0" xfId="0" applyNumberFormat="1" applyFont="1"/>
  </cellXfs>
  <cellStyles count="4">
    <cellStyle name="20% - Accent6" xfId="2" builtinId="50"/>
    <cellStyle name="Currency" xfId="1" builtinId="4"/>
    <cellStyle name="Hyperlink" xfId="3" builtinId="8"/>
    <cellStyle name="Normal" xfId="0" builtinId="0"/>
  </cellStyles>
  <dxfs count="9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bgColor theme="5" tint="0.59996337778862885"/>
        </patternFill>
      </fill>
    </dxf>
    <dxf>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1" formatCode="0"/>
    </dxf>
    <dxf>
      <numFmt numFmtId="164" formatCode="&quot;$&quot;#,##0"/>
    </dxf>
    <dxf>
      <numFmt numFmtId="164" formatCode="&quot;$&quot;#,##0"/>
    </dxf>
    <dxf>
      <font>
        <sz val="13"/>
      </font>
    </dxf>
    <dxf>
      <font>
        <sz val="13"/>
      </font>
    </dxf>
    <dxf>
      <font>
        <sz val="13"/>
      </font>
    </dxf>
    <dxf>
      <font>
        <sz val="13"/>
      </font>
    </dxf>
    <dxf>
      <font>
        <sz val="13"/>
      </font>
    </dxf>
    <dxf>
      <font>
        <sz val="13"/>
      </font>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3"/>
      </font>
    </dxf>
    <dxf>
      <font>
        <sz val="13"/>
      </font>
    </dxf>
    <dxf>
      <font>
        <sz val="13"/>
      </font>
    </dxf>
    <dxf>
      <font>
        <sz val="13"/>
      </font>
    </dxf>
    <dxf>
      <font>
        <sz val="13"/>
      </font>
    </dxf>
    <dxf>
      <font>
        <sz val="13"/>
      </font>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3"/>
      </font>
    </dxf>
    <dxf>
      <font>
        <sz val="13"/>
      </font>
    </dxf>
    <dxf>
      <font>
        <sz val="13"/>
      </font>
    </dxf>
    <dxf>
      <font>
        <sz val="13"/>
      </font>
    </dxf>
    <dxf>
      <font>
        <sz val="13"/>
      </font>
    </dxf>
    <dxf>
      <font>
        <sz val="13"/>
      </font>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3"/>
      </font>
    </dxf>
    <dxf>
      <font>
        <sz val="13"/>
      </font>
    </dxf>
    <dxf>
      <font>
        <sz val="13"/>
      </font>
    </dxf>
    <dxf>
      <font>
        <sz val="13"/>
      </font>
    </dxf>
    <dxf>
      <font>
        <sz val="13"/>
      </font>
    </dxf>
    <dxf>
      <font>
        <sz val="13"/>
      </font>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ill>
        <patternFill patternType="solid">
          <bgColor theme="9"/>
        </patternFill>
      </fill>
    </dxf>
    <dxf>
      <font>
        <sz val="13"/>
      </font>
    </dxf>
    <dxf>
      <font>
        <sz val="13"/>
      </font>
    </dxf>
    <dxf>
      <font>
        <sz val="13"/>
      </font>
    </dxf>
    <dxf>
      <fill>
        <patternFill patternType="solid">
          <bgColor theme="9"/>
        </patternFill>
      </fill>
    </dxf>
    <dxf>
      <fill>
        <patternFill patternType="solid">
          <bgColor theme="9"/>
        </patternFill>
      </fill>
    </dxf>
    <dxf>
      <fill>
        <patternFill patternType="solid">
          <bgColor theme="9"/>
        </patternFill>
      </fill>
    </dxf>
    <dxf>
      <numFmt numFmtId="164" formatCode="&quot;$&quot;#,##0"/>
    </dxf>
    <dxf>
      <numFmt numFmtId="164" formatCode="&quot;$&quot;#,##0"/>
    </dxf>
    <dxf>
      <numFmt numFmtId="164" formatCode="&quot;$&quot;#,##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[employee_sales_dataset- Consolidated.xlsx]PIVOT TABLES!PivotTable5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CA" b="1">
                <a:solidFill>
                  <a:schemeClr val="tx1"/>
                </a:solidFill>
              </a:rPr>
              <a:t>Top 10</a:t>
            </a:r>
            <a:r>
              <a:rPr lang="en-CA" b="1" baseline="0">
                <a:solidFill>
                  <a:schemeClr val="tx1"/>
                </a:solidFill>
              </a:rPr>
              <a:t> Employees</a:t>
            </a:r>
            <a:endParaRPr lang="en-CA"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CA"/>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Employee Total Sales</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TABLES'!$A$4:$A$14</c:f>
              <c:strCache>
                <c:ptCount val="10"/>
                <c:pt idx="0">
                  <c:v>Anna Taylor</c:v>
                </c:pt>
                <c:pt idx="1">
                  <c:v>David Lopez</c:v>
                </c:pt>
                <c:pt idx="2">
                  <c:v>David O’Connel</c:v>
                </c:pt>
                <c:pt idx="3">
                  <c:v>Jennifer Rodriguez</c:v>
                </c:pt>
                <c:pt idx="4">
                  <c:v>Jennifer Taylor</c:v>
                </c:pt>
                <c:pt idx="5">
                  <c:v>Patricia Adams</c:v>
                </c:pt>
                <c:pt idx="6">
                  <c:v>Susan Rodriguez</c:v>
                </c:pt>
                <c:pt idx="7">
                  <c:v>Susan Wright</c:v>
                </c:pt>
                <c:pt idx="8">
                  <c:v>William Garcia</c:v>
                </c:pt>
                <c:pt idx="9">
                  <c:v>William Martinez</c:v>
                </c:pt>
              </c:strCache>
            </c:strRef>
          </c:cat>
          <c:val>
            <c:numRef>
              <c:f>'PIVOT TABLES'!$B$4:$B$14</c:f>
              <c:numCache>
                <c:formatCode>"$"#,##0</c:formatCode>
                <c:ptCount val="10"/>
                <c:pt idx="0">
                  <c:v>1015242</c:v>
                </c:pt>
                <c:pt idx="1">
                  <c:v>1116627</c:v>
                </c:pt>
                <c:pt idx="2">
                  <c:v>1098373</c:v>
                </c:pt>
                <c:pt idx="3">
                  <c:v>1394844</c:v>
                </c:pt>
                <c:pt idx="4">
                  <c:v>1034510</c:v>
                </c:pt>
                <c:pt idx="5">
                  <c:v>1045280</c:v>
                </c:pt>
                <c:pt idx="6">
                  <c:v>1154499</c:v>
                </c:pt>
                <c:pt idx="7">
                  <c:v>1422917</c:v>
                </c:pt>
                <c:pt idx="8">
                  <c:v>1042468</c:v>
                </c:pt>
                <c:pt idx="9">
                  <c:v>1496720</c:v>
                </c:pt>
              </c:numCache>
            </c:numRef>
          </c:val>
          <c:extLst>
            <c:ext xmlns:c16="http://schemas.microsoft.com/office/drawing/2014/chart" uri="{C3380CC4-5D6E-409C-BE32-E72D297353CC}">
              <c16:uniqueId val="{00000000-ED71-4481-9FB5-DA087E503042}"/>
            </c:ext>
          </c:extLst>
        </c:ser>
        <c:ser>
          <c:idx val="1"/>
          <c:order val="1"/>
          <c:tx>
            <c:strRef>
              <c:f>'PIVOT TABLES'!$C$3</c:f>
              <c:strCache>
                <c:ptCount val="1"/>
                <c:pt idx="0">
                  <c:v>Sum of Employee ID</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TABLES'!$A$4:$A$14</c:f>
              <c:strCache>
                <c:ptCount val="10"/>
                <c:pt idx="0">
                  <c:v>Anna Taylor</c:v>
                </c:pt>
                <c:pt idx="1">
                  <c:v>David Lopez</c:v>
                </c:pt>
                <c:pt idx="2">
                  <c:v>David O’Connel</c:v>
                </c:pt>
                <c:pt idx="3">
                  <c:v>Jennifer Rodriguez</c:v>
                </c:pt>
                <c:pt idx="4">
                  <c:v>Jennifer Taylor</c:v>
                </c:pt>
                <c:pt idx="5">
                  <c:v>Patricia Adams</c:v>
                </c:pt>
                <c:pt idx="6">
                  <c:v>Susan Rodriguez</c:v>
                </c:pt>
                <c:pt idx="7">
                  <c:v>Susan Wright</c:v>
                </c:pt>
                <c:pt idx="8">
                  <c:v>William Garcia</c:v>
                </c:pt>
                <c:pt idx="9">
                  <c:v>William Martinez</c:v>
                </c:pt>
              </c:strCache>
            </c:strRef>
          </c:cat>
          <c:val>
            <c:numRef>
              <c:f>'PIVOT TABLES'!$C$4:$C$14</c:f>
              <c:numCache>
                <c:formatCode>General</c:formatCode>
                <c:ptCount val="10"/>
                <c:pt idx="0">
                  <c:v>1676</c:v>
                </c:pt>
                <c:pt idx="1">
                  <c:v>2539</c:v>
                </c:pt>
                <c:pt idx="2">
                  <c:v>1702</c:v>
                </c:pt>
                <c:pt idx="3">
                  <c:v>3005</c:v>
                </c:pt>
                <c:pt idx="4">
                  <c:v>2075</c:v>
                </c:pt>
                <c:pt idx="5">
                  <c:v>1691</c:v>
                </c:pt>
                <c:pt idx="6">
                  <c:v>2496</c:v>
                </c:pt>
                <c:pt idx="7">
                  <c:v>2474</c:v>
                </c:pt>
                <c:pt idx="8">
                  <c:v>2099</c:v>
                </c:pt>
                <c:pt idx="9">
                  <c:v>2500</c:v>
                </c:pt>
              </c:numCache>
            </c:numRef>
          </c:val>
          <c:extLst>
            <c:ext xmlns:c16="http://schemas.microsoft.com/office/drawing/2014/chart" uri="{C3380CC4-5D6E-409C-BE32-E72D297353CC}">
              <c16:uniqueId val="{00000001-ED71-4481-9FB5-DA087E503042}"/>
            </c:ext>
          </c:extLst>
        </c:ser>
        <c:dLbls>
          <c:dLblPos val="outEnd"/>
          <c:showLegendKey val="0"/>
          <c:showVal val="1"/>
          <c:showCatName val="0"/>
          <c:showSerName val="0"/>
          <c:showPercent val="0"/>
          <c:showBubbleSize val="0"/>
        </c:dLbls>
        <c:gapWidth val="219"/>
        <c:overlap val="-27"/>
        <c:axId val="2038886047"/>
        <c:axId val="2038886527"/>
      </c:barChart>
      <c:catAx>
        <c:axId val="203888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8886527"/>
        <c:crosses val="autoZero"/>
        <c:auto val="1"/>
        <c:lblAlgn val="ctr"/>
        <c:lblOffset val="100"/>
        <c:noMultiLvlLbl val="0"/>
      </c:catAx>
      <c:valAx>
        <c:axId val="2038886527"/>
        <c:scaling>
          <c:orientation val="minMax"/>
        </c:scaling>
        <c:delete val="1"/>
        <c:axPos val="l"/>
        <c:numFmt formatCode="&quot;$&quot;#,##0" sourceLinked="1"/>
        <c:majorTickMark val="out"/>
        <c:minorTickMark val="none"/>
        <c:tickLblPos val="nextTo"/>
        <c:crossAx val="203888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[employee_sales_dataset- Consolidated.xlsx]PIVOT TABLES!PivotTable34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CA" b="1">
                <a:solidFill>
                  <a:schemeClr val="tx1"/>
                </a:solidFill>
              </a:rPr>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F42-4345-9A0F-48365EEF2A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F42-4345-9A0F-48365EEF2A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F42-4345-9A0F-48365EEF2A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F42-4345-9A0F-48365EEF2A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TABLES'!$E$4:$E$8</c:f>
              <c:strCache>
                <c:ptCount val="4"/>
                <c:pt idx="0">
                  <c:v>East</c:v>
                </c:pt>
                <c:pt idx="1">
                  <c:v>North</c:v>
                </c:pt>
                <c:pt idx="2">
                  <c:v>South</c:v>
                </c:pt>
                <c:pt idx="3">
                  <c:v>West</c:v>
                </c:pt>
              </c:strCache>
            </c:strRef>
          </c:cat>
          <c:val>
            <c:numRef>
              <c:f>'PIVOT TABLES'!$F$4:$F$8</c:f>
              <c:numCache>
                <c:formatCode>"$"#,##0</c:formatCode>
                <c:ptCount val="4"/>
                <c:pt idx="0">
                  <c:v>27310732</c:v>
                </c:pt>
                <c:pt idx="1">
                  <c:v>22866797</c:v>
                </c:pt>
                <c:pt idx="2">
                  <c:v>26262804</c:v>
                </c:pt>
                <c:pt idx="3">
                  <c:v>23560642</c:v>
                </c:pt>
              </c:numCache>
            </c:numRef>
          </c:val>
          <c:extLst>
            <c:ext xmlns:c16="http://schemas.microsoft.com/office/drawing/2014/chart" uri="{C3380CC4-5D6E-409C-BE32-E72D297353CC}">
              <c16:uniqueId val="{00000008-5F42-4345-9A0F-48365EEF2A25}"/>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[employee_sales_dataset- Consolidated.xlsx]PIVOT TABLES!PivotTable32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CA" b="1">
                <a:solidFill>
                  <a:schemeClr val="tx1"/>
                </a:solidFill>
              </a:rPr>
              <a:t>Quarterly</a:t>
            </a:r>
            <a:r>
              <a:rPr lang="en-CA" b="1" baseline="0">
                <a:solidFill>
                  <a:schemeClr val="tx1"/>
                </a:solidFill>
              </a:rPr>
              <a:t> Sales By Region</a:t>
            </a:r>
            <a:endParaRPr lang="en-CA"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CA"/>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TABLES'!$B$23</c:f>
              <c:strCache>
                <c:ptCount val="1"/>
                <c:pt idx="0">
                  <c:v>Sum of Sales (Q1)</c:v>
                </c:pt>
              </c:strCache>
            </c:strRef>
          </c:tx>
          <c:spPr>
            <a:solidFill>
              <a:schemeClr val="accent1"/>
            </a:solidFill>
            <a:ln>
              <a:noFill/>
            </a:ln>
            <a:effectLst/>
            <a:sp3d/>
          </c:spPr>
          <c:invertIfNegative val="0"/>
          <c:cat>
            <c:strRef>
              <c:f>'PIVOT TABLES'!$A$24:$A$28</c:f>
              <c:strCache>
                <c:ptCount val="4"/>
                <c:pt idx="0">
                  <c:v>East</c:v>
                </c:pt>
                <c:pt idx="1">
                  <c:v>North</c:v>
                </c:pt>
                <c:pt idx="2">
                  <c:v>South</c:v>
                </c:pt>
                <c:pt idx="3">
                  <c:v>West</c:v>
                </c:pt>
              </c:strCache>
            </c:strRef>
          </c:cat>
          <c:val>
            <c:numRef>
              <c:f>'PIVOT TABLES'!$B$24:$B$28</c:f>
              <c:numCache>
                <c:formatCode>"$"#,##0</c:formatCode>
                <c:ptCount val="4"/>
                <c:pt idx="0">
                  <c:v>6933354</c:v>
                </c:pt>
                <c:pt idx="1">
                  <c:v>5715617</c:v>
                </c:pt>
                <c:pt idx="2">
                  <c:v>6631549</c:v>
                </c:pt>
                <c:pt idx="3">
                  <c:v>5964871</c:v>
                </c:pt>
              </c:numCache>
            </c:numRef>
          </c:val>
          <c:extLst>
            <c:ext xmlns:c16="http://schemas.microsoft.com/office/drawing/2014/chart" uri="{C3380CC4-5D6E-409C-BE32-E72D297353CC}">
              <c16:uniqueId val="{00000000-75E0-442B-823F-7DD10ACA91D2}"/>
            </c:ext>
          </c:extLst>
        </c:ser>
        <c:ser>
          <c:idx val="1"/>
          <c:order val="1"/>
          <c:tx>
            <c:strRef>
              <c:f>'PIVOT TABLES'!$C$23</c:f>
              <c:strCache>
                <c:ptCount val="1"/>
                <c:pt idx="0">
                  <c:v>Sum of Sales (Q2)</c:v>
                </c:pt>
              </c:strCache>
            </c:strRef>
          </c:tx>
          <c:spPr>
            <a:solidFill>
              <a:schemeClr val="accent2"/>
            </a:solidFill>
            <a:ln>
              <a:noFill/>
            </a:ln>
            <a:effectLst/>
            <a:sp3d/>
          </c:spPr>
          <c:invertIfNegative val="0"/>
          <c:cat>
            <c:strRef>
              <c:f>'PIVOT TABLES'!$A$24:$A$28</c:f>
              <c:strCache>
                <c:ptCount val="4"/>
                <c:pt idx="0">
                  <c:v>East</c:v>
                </c:pt>
                <c:pt idx="1">
                  <c:v>North</c:v>
                </c:pt>
                <c:pt idx="2">
                  <c:v>South</c:v>
                </c:pt>
                <c:pt idx="3">
                  <c:v>West</c:v>
                </c:pt>
              </c:strCache>
            </c:strRef>
          </c:cat>
          <c:val>
            <c:numRef>
              <c:f>'PIVOT TABLES'!$C$24:$C$28</c:f>
              <c:numCache>
                <c:formatCode>"$"#,##0</c:formatCode>
                <c:ptCount val="4"/>
                <c:pt idx="0">
                  <c:v>6988925</c:v>
                </c:pt>
                <c:pt idx="1">
                  <c:v>5544172</c:v>
                </c:pt>
                <c:pt idx="2">
                  <c:v>6662722</c:v>
                </c:pt>
                <c:pt idx="3">
                  <c:v>5964047</c:v>
                </c:pt>
              </c:numCache>
            </c:numRef>
          </c:val>
          <c:extLst>
            <c:ext xmlns:c16="http://schemas.microsoft.com/office/drawing/2014/chart" uri="{C3380CC4-5D6E-409C-BE32-E72D297353CC}">
              <c16:uniqueId val="{00000001-75E0-442B-823F-7DD10ACA91D2}"/>
            </c:ext>
          </c:extLst>
        </c:ser>
        <c:ser>
          <c:idx val="2"/>
          <c:order val="2"/>
          <c:tx>
            <c:strRef>
              <c:f>'PIVOT TABLES'!$D$23</c:f>
              <c:strCache>
                <c:ptCount val="1"/>
                <c:pt idx="0">
                  <c:v>Sum of Sales (Q3)</c:v>
                </c:pt>
              </c:strCache>
            </c:strRef>
          </c:tx>
          <c:spPr>
            <a:solidFill>
              <a:schemeClr val="accent3"/>
            </a:solidFill>
            <a:ln>
              <a:noFill/>
            </a:ln>
            <a:effectLst/>
            <a:sp3d/>
          </c:spPr>
          <c:invertIfNegative val="0"/>
          <c:cat>
            <c:strRef>
              <c:f>'PIVOT TABLES'!$A$24:$A$28</c:f>
              <c:strCache>
                <c:ptCount val="4"/>
                <c:pt idx="0">
                  <c:v>East</c:v>
                </c:pt>
                <c:pt idx="1">
                  <c:v>North</c:v>
                </c:pt>
                <c:pt idx="2">
                  <c:v>South</c:v>
                </c:pt>
                <c:pt idx="3">
                  <c:v>West</c:v>
                </c:pt>
              </c:strCache>
            </c:strRef>
          </c:cat>
          <c:val>
            <c:numRef>
              <c:f>'PIVOT TABLES'!$D$24:$D$28</c:f>
              <c:numCache>
                <c:formatCode>"$"#,##0</c:formatCode>
                <c:ptCount val="4"/>
                <c:pt idx="0">
                  <c:v>6899096</c:v>
                </c:pt>
                <c:pt idx="1">
                  <c:v>5840619</c:v>
                </c:pt>
                <c:pt idx="2">
                  <c:v>6667678</c:v>
                </c:pt>
                <c:pt idx="3">
                  <c:v>5626885</c:v>
                </c:pt>
              </c:numCache>
            </c:numRef>
          </c:val>
          <c:extLst>
            <c:ext xmlns:c16="http://schemas.microsoft.com/office/drawing/2014/chart" uri="{C3380CC4-5D6E-409C-BE32-E72D297353CC}">
              <c16:uniqueId val="{00000002-75E0-442B-823F-7DD10ACA91D2}"/>
            </c:ext>
          </c:extLst>
        </c:ser>
        <c:ser>
          <c:idx val="3"/>
          <c:order val="3"/>
          <c:tx>
            <c:strRef>
              <c:f>'PIVOT TABLES'!$E$23</c:f>
              <c:strCache>
                <c:ptCount val="1"/>
                <c:pt idx="0">
                  <c:v>Sum of Sales (Q4)</c:v>
                </c:pt>
              </c:strCache>
            </c:strRef>
          </c:tx>
          <c:spPr>
            <a:solidFill>
              <a:schemeClr val="accent4"/>
            </a:solidFill>
            <a:ln>
              <a:noFill/>
            </a:ln>
            <a:effectLst/>
            <a:sp3d/>
          </c:spPr>
          <c:invertIfNegative val="0"/>
          <c:cat>
            <c:strRef>
              <c:f>'PIVOT TABLES'!$A$24:$A$28</c:f>
              <c:strCache>
                <c:ptCount val="4"/>
                <c:pt idx="0">
                  <c:v>East</c:v>
                </c:pt>
                <c:pt idx="1">
                  <c:v>North</c:v>
                </c:pt>
                <c:pt idx="2">
                  <c:v>South</c:v>
                </c:pt>
                <c:pt idx="3">
                  <c:v>West</c:v>
                </c:pt>
              </c:strCache>
            </c:strRef>
          </c:cat>
          <c:val>
            <c:numRef>
              <c:f>'PIVOT TABLES'!$E$24:$E$28</c:f>
              <c:numCache>
                <c:formatCode>"$"#,##0</c:formatCode>
                <c:ptCount val="4"/>
                <c:pt idx="0">
                  <c:v>6489357</c:v>
                </c:pt>
                <c:pt idx="1">
                  <c:v>5766389</c:v>
                </c:pt>
                <c:pt idx="2">
                  <c:v>6300855</c:v>
                </c:pt>
                <c:pt idx="3">
                  <c:v>6004839</c:v>
                </c:pt>
              </c:numCache>
            </c:numRef>
          </c:val>
          <c:extLst>
            <c:ext xmlns:c16="http://schemas.microsoft.com/office/drawing/2014/chart" uri="{C3380CC4-5D6E-409C-BE32-E72D297353CC}">
              <c16:uniqueId val="{00000003-75E0-442B-823F-7DD10ACA91D2}"/>
            </c:ext>
          </c:extLst>
        </c:ser>
        <c:dLbls>
          <c:showLegendKey val="0"/>
          <c:showVal val="0"/>
          <c:showCatName val="0"/>
          <c:showSerName val="0"/>
          <c:showPercent val="0"/>
          <c:showBubbleSize val="0"/>
        </c:dLbls>
        <c:gapWidth val="150"/>
        <c:shape val="box"/>
        <c:axId val="542868575"/>
        <c:axId val="542879615"/>
        <c:axId val="0"/>
      </c:bar3DChart>
      <c:catAx>
        <c:axId val="54286857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2879615"/>
        <c:crosses val="autoZero"/>
        <c:auto val="1"/>
        <c:lblAlgn val="ctr"/>
        <c:lblOffset val="100"/>
        <c:noMultiLvlLbl val="0"/>
      </c:catAx>
      <c:valAx>
        <c:axId val="542879615"/>
        <c:scaling>
          <c:orientation val="minMax"/>
        </c:scaling>
        <c:delete val="0"/>
        <c:axPos val="l"/>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4286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[employee_sales_dataset- Consolidated.xlsx]PIVOT TABLES!PivotTable36</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Sales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TABLES'!$F$11</c:f>
              <c:strCache>
                <c:ptCount val="1"/>
                <c:pt idx="0">
                  <c:v>Total</c:v>
                </c:pt>
              </c:strCache>
            </c:strRef>
          </c:tx>
          <c:spPr>
            <a:solidFill>
              <a:schemeClr val="dk1">
                <a:tint val="885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TABLES'!$E$12:$E$19</c:f>
              <c:strCache>
                <c:ptCount val="7"/>
                <c:pt idx="0">
                  <c:v>Finance</c:v>
                </c:pt>
                <c:pt idx="1">
                  <c:v>HR</c:v>
                </c:pt>
                <c:pt idx="2">
                  <c:v>IT</c:v>
                </c:pt>
                <c:pt idx="3">
                  <c:v>Marketing</c:v>
                </c:pt>
                <c:pt idx="4">
                  <c:v>Operations</c:v>
                </c:pt>
                <c:pt idx="5">
                  <c:v>Sales</c:v>
                </c:pt>
                <c:pt idx="6">
                  <c:v>Support</c:v>
                </c:pt>
              </c:strCache>
            </c:strRef>
          </c:cat>
          <c:val>
            <c:numRef>
              <c:f>'PIVOT TABLES'!$F$12:$F$19</c:f>
              <c:numCache>
                <c:formatCode>"$"#,##0</c:formatCode>
                <c:ptCount val="7"/>
                <c:pt idx="0">
                  <c:v>14534516</c:v>
                </c:pt>
                <c:pt idx="1">
                  <c:v>15601847</c:v>
                </c:pt>
                <c:pt idx="2">
                  <c:v>12894629</c:v>
                </c:pt>
                <c:pt idx="3">
                  <c:v>12552038</c:v>
                </c:pt>
                <c:pt idx="4">
                  <c:v>15826419</c:v>
                </c:pt>
                <c:pt idx="5">
                  <c:v>16285176</c:v>
                </c:pt>
                <c:pt idx="6">
                  <c:v>12306350</c:v>
                </c:pt>
              </c:numCache>
            </c:numRef>
          </c:val>
          <c:extLst>
            <c:ext xmlns:c16="http://schemas.microsoft.com/office/drawing/2014/chart" uri="{C3380CC4-5D6E-409C-BE32-E72D297353CC}">
              <c16:uniqueId val="{00000000-C890-4275-AA9F-47BA3409EA9D}"/>
            </c:ext>
          </c:extLst>
        </c:ser>
        <c:dLbls>
          <c:showLegendKey val="0"/>
          <c:showVal val="1"/>
          <c:showCatName val="0"/>
          <c:showSerName val="0"/>
          <c:showPercent val="0"/>
          <c:showBubbleSize val="0"/>
        </c:dLbls>
        <c:gapWidth val="150"/>
        <c:shape val="box"/>
        <c:axId val="645540879"/>
        <c:axId val="645544719"/>
        <c:axId val="0"/>
      </c:bar3DChart>
      <c:catAx>
        <c:axId val="6455408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5544719"/>
        <c:crosses val="autoZero"/>
        <c:auto val="1"/>
        <c:lblAlgn val="ctr"/>
        <c:lblOffset val="100"/>
        <c:noMultiLvlLbl val="0"/>
      </c:catAx>
      <c:valAx>
        <c:axId val="645544719"/>
        <c:scaling>
          <c:orientation val="minMax"/>
        </c:scaling>
        <c:delete val="1"/>
        <c:axPos val="b"/>
        <c:numFmt formatCode="&quot;$&quot;#,##0" sourceLinked="1"/>
        <c:majorTickMark val="out"/>
        <c:minorTickMark val="none"/>
        <c:tickLblPos val="nextTo"/>
        <c:crossAx val="645540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xdr:colOff>
      <xdr:row>0</xdr:row>
      <xdr:rowOff>55564</xdr:rowOff>
    </xdr:from>
    <xdr:to>
      <xdr:col>26</xdr:col>
      <xdr:colOff>595313</xdr:colOff>
      <xdr:row>2</xdr:row>
      <xdr:rowOff>174627</xdr:rowOff>
    </xdr:to>
    <xdr:sp macro="" textlink="">
      <xdr:nvSpPr>
        <xdr:cNvPr id="3" name="Rectangle 2">
          <a:extLst>
            <a:ext uri="{FF2B5EF4-FFF2-40B4-BE49-F238E27FC236}">
              <a16:creationId xmlns:a16="http://schemas.microsoft.com/office/drawing/2014/main" id="{799FEF39-6801-20DD-E3E4-23A77961FF37}"/>
            </a:ext>
          </a:extLst>
        </xdr:cNvPr>
        <xdr:cNvSpPr/>
      </xdr:nvSpPr>
      <xdr:spPr>
        <a:xfrm>
          <a:off x="25400" y="55564"/>
          <a:ext cx="16460788" cy="484188"/>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CA" sz="1100"/>
            <a:t>		</a:t>
          </a:r>
          <a:endParaRPr lang="en-CA" sz="1100">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xdr:from>
      <xdr:col>0</xdr:col>
      <xdr:colOff>44450</xdr:colOff>
      <xdr:row>3</xdr:row>
      <xdr:rowOff>8297</xdr:rowOff>
    </xdr:from>
    <xdr:to>
      <xdr:col>3</xdr:col>
      <xdr:colOff>19050</xdr:colOff>
      <xdr:row>7</xdr:row>
      <xdr:rowOff>47625</xdr:rowOff>
    </xdr:to>
    <xdr:sp macro="" textlink="'PIVOT TABLES'!A19">
      <xdr:nvSpPr>
        <xdr:cNvPr id="4" name="Rectangle 3">
          <a:extLst>
            <a:ext uri="{FF2B5EF4-FFF2-40B4-BE49-F238E27FC236}">
              <a16:creationId xmlns:a16="http://schemas.microsoft.com/office/drawing/2014/main" id="{ADE86F51-A3F2-26B6-89C1-F8DD743AA224}"/>
            </a:ext>
          </a:extLst>
        </xdr:cNvPr>
        <xdr:cNvSpPr/>
      </xdr:nvSpPr>
      <xdr:spPr>
        <a:xfrm>
          <a:off x="44450" y="555985"/>
          <a:ext cx="1808163" cy="769578"/>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ctr"/>
          <a:endParaRPr lang="en-US" sz="1100" b="1" i="0" u="none" strike="noStrike">
            <a:solidFill>
              <a:schemeClr val="tx1"/>
            </a:solidFill>
            <a:latin typeface="Calibri"/>
            <a:ea typeface="Calibri"/>
            <a:cs typeface="Calibri"/>
          </a:endParaRPr>
        </a:p>
        <a:p>
          <a:pPr marL="0" indent="0" algn="ctr"/>
          <a:fld id="{D72CAE9F-A14C-4EB4-AC4F-2497BAAAA80E}" type="TxLink">
            <a:rPr lang="en-US" sz="1100" b="1" i="0" u="none" strike="noStrike">
              <a:solidFill>
                <a:schemeClr val="tx1"/>
              </a:solidFill>
              <a:latin typeface="Calibri"/>
              <a:ea typeface="Calibri"/>
              <a:cs typeface="Calibri"/>
            </a:rPr>
            <a:pPr marL="0" indent="0" algn="ctr"/>
            <a:t>$100,000,975</a:t>
          </a:fld>
          <a:endParaRPr lang="en-CA" sz="1100" b="1">
            <a:solidFill>
              <a:schemeClr val="tx1"/>
            </a:solidFill>
            <a:latin typeface="+mn-lt"/>
            <a:ea typeface="+mn-ea"/>
            <a:cs typeface="+mn-cs"/>
          </a:endParaRPr>
        </a:p>
      </xdr:txBody>
    </xdr:sp>
    <xdr:clientData/>
  </xdr:twoCellAnchor>
  <xdr:twoCellAnchor>
    <xdr:from>
      <xdr:col>0</xdr:col>
      <xdr:colOff>60326</xdr:colOff>
      <xdr:row>7</xdr:row>
      <xdr:rowOff>112370</xdr:rowOff>
    </xdr:from>
    <xdr:to>
      <xdr:col>3</xdr:col>
      <xdr:colOff>34926</xdr:colOff>
      <xdr:row>11</xdr:row>
      <xdr:rowOff>50458</xdr:rowOff>
    </xdr:to>
    <xdr:sp macro="" textlink="'PIVOT TABLES'!B28">
      <xdr:nvSpPr>
        <xdr:cNvPr id="6" name="Rectangle 5">
          <a:extLst>
            <a:ext uri="{FF2B5EF4-FFF2-40B4-BE49-F238E27FC236}">
              <a16:creationId xmlns:a16="http://schemas.microsoft.com/office/drawing/2014/main" id="{F51544AB-0B63-46F2-9E86-DA1032848F5D}"/>
            </a:ext>
          </a:extLst>
        </xdr:cNvPr>
        <xdr:cNvSpPr/>
      </xdr:nvSpPr>
      <xdr:spPr>
        <a:xfrm>
          <a:off x="60326" y="1390308"/>
          <a:ext cx="1808163" cy="668338"/>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endParaRPr lang="en-US" sz="1100" b="1" i="0" u="none" strike="noStrike">
            <a:solidFill>
              <a:srgbClr val="000000"/>
            </a:solidFill>
            <a:latin typeface="Calibri"/>
            <a:ea typeface="Calibri"/>
            <a:cs typeface="Calibri"/>
          </a:endParaRPr>
        </a:p>
        <a:p>
          <a:pPr marL="0" indent="0" algn="ctr"/>
          <a:endParaRPr lang="en-US" sz="1100" b="1" i="0" u="none" strike="noStrike">
            <a:solidFill>
              <a:srgbClr val="000000"/>
            </a:solidFill>
            <a:latin typeface="Calibri"/>
            <a:ea typeface="Calibri"/>
            <a:cs typeface="Calibri"/>
          </a:endParaRPr>
        </a:p>
        <a:p>
          <a:pPr marL="0" indent="0" algn="ctr"/>
          <a:fld id="{FF76356A-15FF-42AF-8F2A-4EB6196D3F52}" type="TxLink">
            <a:rPr lang="en-US" sz="1100" b="1" i="0" u="none" strike="noStrike">
              <a:solidFill>
                <a:srgbClr val="000000"/>
              </a:solidFill>
              <a:latin typeface="Calibri"/>
              <a:ea typeface="Calibri"/>
              <a:cs typeface="Calibri"/>
            </a:rPr>
            <a:pPr marL="0" indent="0" algn="ctr"/>
            <a:t>$25,245,391</a:t>
          </a:fld>
          <a:endParaRPr lang="en-CA" sz="1200" b="1" i="0" u="none" strike="noStrike">
            <a:solidFill>
              <a:sysClr val="windowText" lastClr="000000"/>
            </a:solidFill>
            <a:latin typeface="Calibri"/>
            <a:ea typeface="Calibri"/>
            <a:cs typeface="Calibri"/>
          </a:endParaRPr>
        </a:p>
      </xdr:txBody>
    </xdr:sp>
    <xdr:clientData/>
  </xdr:twoCellAnchor>
  <xdr:oneCellAnchor>
    <xdr:from>
      <xdr:col>6</xdr:col>
      <xdr:colOff>248355</xdr:colOff>
      <xdr:row>0</xdr:row>
      <xdr:rowOff>27517</xdr:rowOff>
    </xdr:from>
    <xdr:ext cx="5073650" cy="501650"/>
    <xdr:sp macro="" textlink="">
      <xdr:nvSpPr>
        <xdr:cNvPr id="9" name="TextBox 8">
          <a:extLst>
            <a:ext uri="{FF2B5EF4-FFF2-40B4-BE49-F238E27FC236}">
              <a16:creationId xmlns:a16="http://schemas.microsoft.com/office/drawing/2014/main" id="{3D3150CC-8407-EB8E-75DC-3FEBD07528AE}"/>
            </a:ext>
          </a:extLst>
        </xdr:cNvPr>
        <xdr:cNvSpPr txBox="1"/>
      </xdr:nvSpPr>
      <xdr:spPr>
        <a:xfrm>
          <a:off x="3889022" y="27517"/>
          <a:ext cx="5073650" cy="501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6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Employee</a:t>
          </a:r>
          <a:r>
            <a:rPr lang="en-CA" sz="16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 Sales Performance Dashboard</a:t>
          </a:r>
          <a:endParaRPr lang="en-CA" sz="16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0</xdr:col>
      <xdr:colOff>119062</xdr:colOff>
      <xdr:row>7</xdr:row>
      <xdr:rowOff>127882</xdr:rowOff>
    </xdr:from>
    <xdr:ext cx="2120900" cy="360035"/>
    <xdr:sp macro="" textlink="">
      <xdr:nvSpPr>
        <xdr:cNvPr id="10" name="TextBox 9">
          <a:extLst>
            <a:ext uri="{FF2B5EF4-FFF2-40B4-BE49-F238E27FC236}">
              <a16:creationId xmlns:a16="http://schemas.microsoft.com/office/drawing/2014/main" id="{6F11FE89-52A0-BD25-3C60-B9C0A2B56A69}"/>
            </a:ext>
          </a:extLst>
        </xdr:cNvPr>
        <xdr:cNvSpPr txBox="1"/>
      </xdr:nvSpPr>
      <xdr:spPr>
        <a:xfrm>
          <a:off x="119062" y="1405820"/>
          <a:ext cx="2120900" cy="36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6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CA" sz="16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Sales QT 1</a:t>
          </a:r>
          <a:endParaRPr lang="en-CA" sz="16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0</xdr:col>
      <xdr:colOff>130175</xdr:colOff>
      <xdr:row>3</xdr:row>
      <xdr:rowOff>57150</xdr:rowOff>
    </xdr:from>
    <xdr:ext cx="2120900" cy="360035"/>
    <xdr:sp macro="" textlink="">
      <xdr:nvSpPr>
        <xdr:cNvPr id="11" name="TextBox 10">
          <a:extLst>
            <a:ext uri="{FF2B5EF4-FFF2-40B4-BE49-F238E27FC236}">
              <a16:creationId xmlns:a16="http://schemas.microsoft.com/office/drawing/2014/main" id="{2F1295BD-A69D-7229-E9C5-D7FDF692D4F1}"/>
            </a:ext>
          </a:extLst>
        </xdr:cNvPr>
        <xdr:cNvSpPr txBox="1"/>
      </xdr:nvSpPr>
      <xdr:spPr>
        <a:xfrm>
          <a:off x="130175" y="604838"/>
          <a:ext cx="2120900" cy="3600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6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Total Sales </a:t>
          </a:r>
          <a:endParaRPr lang="en-CA" sz="16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0</xdr:col>
      <xdr:colOff>55738</xdr:colOff>
      <xdr:row>16</xdr:row>
      <xdr:rowOff>71440</xdr:rowOff>
    </xdr:from>
    <xdr:to>
      <xdr:col>3</xdr:col>
      <xdr:colOff>30338</xdr:colOff>
      <xdr:row>20</xdr:row>
      <xdr:rowOff>116421</xdr:rowOff>
    </xdr:to>
    <xdr:sp macro="" textlink="'PIVOT TABLES'!D28">
      <xdr:nvSpPr>
        <xdr:cNvPr id="19" name="Rectangle 18">
          <a:extLst>
            <a:ext uri="{FF2B5EF4-FFF2-40B4-BE49-F238E27FC236}">
              <a16:creationId xmlns:a16="http://schemas.microsoft.com/office/drawing/2014/main" id="{A75BC4FA-12A6-07FF-A510-2E3FD9AF53F2}"/>
            </a:ext>
          </a:extLst>
        </xdr:cNvPr>
        <xdr:cNvSpPr/>
      </xdr:nvSpPr>
      <xdr:spPr>
        <a:xfrm>
          <a:off x="55738" y="2992440"/>
          <a:ext cx="1808163" cy="775231"/>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endParaRPr lang="en-US" sz="1100" b="0" i="0" u="none" strike="noStrike">
            <a:solidFill>
              <a:srgbClr val="000000"/>
            </a:solidFill>
            <a:latin typeface="Calibri"/>
            <a:ea typeface="Calibri"/>
            <a:cs typeface="Calibri"/>
          </a:endParaRPr>
        </a:p>
        <a:p>
          <a:pPr marL="0" indent="0" algn="l"/>
          <a:endParaRPr lang="en-US" sz="1100" b="0" i="0" u="none" strike="noStrike">
            <a:solidFill>
              <a:srgbClr val="000000"/>
            </a:solidFill>
            <a:latin typeface="Calibri"/>
            <a:ea typeface="Calibri"/>
            <a:cs typeface="Calibri"/>
          </a:endParaRPr>
        </a:p>
        <a:p>
          <a:pPr marL="0" indent="0" algn="ctr"/>
          <a:fld id="{4C92FE95-B731-4650-8E6E-7728D4D6502B}" type="TxLink">
            <a:rPr lang="en-US" sz="1100" b="1" i="0" u="none" strike="noStrike">
              <a:solidFill>
                <a:srgbClr val="000000"/>
              </a:solidFill>
              <a:latin typeface="Calibri"/>
              <a:ea typeface="Calibri"/>
              <a:cs typeface="Calibri"/>
            </a:rPr>
            <a:pPr marL="0" indent="0" algn="ctr"/>
            <a:t>$25,034,278</a:t>
          </a:fld>
          <a:endParaRPr lang="en-CA" sz="1200" b="1" i="0" u="none" strike="noStrike">
            <a:solidFill>
              <a:sysClr val="windowText" lastClr="000000"/>
            </a:solidFill>
            <a:latin typeface="Calibri"/>
            <a:ea typeface="Calibri"/>
            <a:cs typeface="Calibri"/>
          </a:endParaRPr>
        </a:p>
      </xdr:txBody>
    </xdr:sp>
    <xdr:clientData/>
  </xdr:twoCellAnchor>
  <xdr:twoCellAnchor>
    <xdr:from>
      <xdr:col>0</xdr:col>
      <xdr:colOff>61736</xdr:colOff>
      <xdr:row>11</xdr:row>
      <xdr:rowOff>87319</xdr:rowOff>
    </xdr:from>
    <xdr:to>
      <xdr:col>3</xdr:col>
      <xdr:colOff>36336</xdr:colOff>
      <xdr:row>16</xdr:row>
      <xdr:rowOff>35110</xdr:rowOff>
    </xdr:to>
    <xdr:sp macro="" textlink="'PIVOT TABLES'!C28">
      <xdr:nvSpPr>
        <xdr:cNvPr id="20" name="Rectangle 19">
          <a:extLst>
            <a:ext uri="{FF2B5EF4-FFF2-40B4-BE49-F238E27FC236}">
              <a16:creationId xmlns:a16="http://schemas.microsoft.com/office/drawing/2014/main" id="{8AF842BE-69D6-1B74-9BCE-0F7997CB91D0}"/>
            </a:ext>
          </a:extLst>
        </xdr:cNvPr>
        <xdr:cNvSpPr/>
      </xdr:nvSpPr>
      <xdr:spPr>
        <a:xfrm>
          <a:off x="61736" y="2095507"/>
          <a:ext cx="1808163" cy="860603"/>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0" i="0" u="none" strike="noStrike">
            <a:solidFill>
              <a:srgbClr val="000000"/>
            </a:solidFill>
            <a:latin typeface="Calibri"/>
            <a:ea typeface="Calibri"/>
            <a:cs typeface="Calibri"/>
          </a:endParaRPr>
        </a:p>
        <a:p>
          <a:pPr marL="0" indent="0" algn="l"/>
          <a:endParaRPr lang="en-US" sz="1100" b="1" i="0" u="none" strike="noStrike">
            <a:solidFill>
              <a:schemeClr val="tx1"/>
            </a:solidFill>
            <a:latin typeface="Calibri"/>
            <a:ea typeface="Calibri"/>
            <a:cs typeface="Calibri"/>
          </a:endParaRPr>
        </a:p>
        <a:p>
          <a:pPr marL="0" indent="0" algn="l"/>
          <a:endParaRPr lang="en-US" sz="1100" b="1" i="0" u="none" strike="noStrike">
            <a:solidFill>
              <a:schemeClr val="tx1"/>
            </a:solidFill>
            <a:latin typeface="Calibri"/>
            <a:ea typeface="Calibri"/>
            <a:cs typeface="Calibri"/>
          </a:endParaRPr>
        </a:p>
        <a:p>
          <a:pPr marL="0" indent="0" algn="ctr"/>
          <a:fld id="{8ACF0357-049F-4830-8EC2-9A2BC88765CB}" type="TxLink">
            <a:rPr lang="en-US" sz="1100" b="1" i="0" u="none" strike="noStrike">
              <a:solidFill>
                <a:schemeClr val="tx1"/>
              </a:solidFill>
              <a:latin typeface="Calibri"/>
              <a:ea typeface="Calibri"/>
              <a:cs typeface="Calibri"/>
            </a:rPr>
            <a:pPr marL="0" indent="0" algn="ctr"/>
            <a:t>$25,159,866</a:t>
          </a:fld>
          <a:endParaRPr lang="en-US" sz="1100" b="1" i="0" u="none" strike="noStrike">
            <a:solidFill>
              <a:schemeClr val="tx1"/>
            </a:solidFill>
            <a:latin typeface="Calibri"/>
            <a:ea typeface="Calibri"/>
            <a:cs typeface="Calibri"/>
          </a:endParaRPr>
        </a:p>
      </xdr:txBody>
    </xdr:sp>
    <xdr:clientData/>
  </xdr:twoCellAnchor>
  <xdr:twoCellAnchor>
    <xdr:from>
      <xdr:col>0</xdr:col>
      <xdr:colOff>57151</xdr:colOff>
      <xdr:row>20</xdr:row>
      <xdr:rowOff>158750</xdr:rowOff>
    </xdr:from>
    <xdr:to>
      <xdr:col>3</xdr:col>
      <xdr:colOff>31751</xdr:colOff>
      <xdr:row>25</xdr:row>
      <xdr:rowOff>174625</xdr:rowOff>
    </xdr:to>
    <xdr:sp macro="" textlink="'PIVOT TABLES'!E28">
      <xdr:nvSpPr>
        <xdr:cNvPr id="21" name="Rectangle 20">
          <a:extLst>
            <a:ext uri="{FF2B5EF4-FFF2-40B4-BE49-F238E27FC236}">
              <a16:creationId xmlns:a16="http://schemas.microsoft.com/office/drawing/2014/main" id="{0A677BE5-35D0-9438-32D7-1AD0230110B9}"/>
            </a:ext>
          </a:extLst>
        </xdr:cNvPr>
        <xdr:cNvSpPr/>
      </xdr:nvSpPr>
      <xdr:spPr>
        <a:xfrm>
          <a:off x="57151" y="3810000"/>
          <a:ext cx="1808163" cy="928688"/>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1" i="0" u="none" strike="noStrike">
            <a:solidFill>
              <a:srgbClr val="000000"/>
            </a:solidFill>
            <a:latin typeface="Calibri"/>
            <a:ea typeface="Calibri"/>
            <a:cs typeface="Calibri"/>
          </a:endParaRPr>
        </a:p>
        <a:p>
          <a:pPr marL="0" indent="0" algn="l"/>
          <a:endParaRPr lang="en-US" sz="1100" b="1" i="0" u="none" strike="noStrike">
            <a:solidFill>
              <a:srgbClr val="000000"/>
            </a:solidFill>
            <a:latin typeface="Calibri"/>
            <a:ea typeface="Calibri"/>
            <a:cs typeface="Calibri"/>
          </a:endParaRPr>
        </a:p>
        <a:p>
          <a:pPr marL="0" indent="0" algn="ctr"/>
          <a:endParaRPr lang="en-US" sz="1100" b="1" i="0" u="none" strike="noStrike">
            <a:solidFill>
              <a:srgbClr val="000000"/>
            </a:solidFill>
            <a:latin typeface="Calibri"/>
            <a:ea typeface="Calibri"/>
            <a:cs typeface="Calibri"/>
          </a:endParaRPr>
        </a:p>
        <a:p>
          <a:pPr marL="0" indent="0" algn="ctr"/>
          <a:fld id="{EC4B885C-3742-4402-9388-CE0EB687566F}" type="TxLink">
            <a:rPr lang="en-US" sz="1100" b="1" i="0" u="none" strike="noStrike">
              <a:solidFill>
                <a:srgbClr val="000000"/>
              </a:solidFill>
              <a:latin typeface="Calibri"/>
              <a:ea typeface="Calibri"/>
              <a:cs typeface="Calibri"/>
            </a:rPr>
            <a:pPr marL="0" indent="0" algn="ctr"/>
            <a:t>$24,561,440</a:t>
          </a:fld>
          <a:endParaRPr lang="en-CA" sz="1200" b="1" i="0" u="none" strike="noStrike">
            <a:solidFill>
              <a:sysClr val="windowText" lastClr="000000"/>
            </a:solidFill>
            <a:latin typeface="Calibri"/>
            <a:ea typeface="Calibri"/>
            <a:cs typeface="Calibri"/>
          </a:endParaRPr>
        </a:p>
      </xdr:txBody>
    </xdr:sp>
    <xdr:clientData/>
  </xdr:twoCellAnchor>
  <xdr:oneCellAnchor>
    <xdr:from>
      <xdr:col>0</xdr:col>
      <xdr:colOff>103187</xdr:colOff>
      <xdr:row>11</xdr:row>
      <xdr:rowOff>119769</xdr:rowOff>
    </xdr:from>
    <xdr:ext cx="2120900" cy="393506"/>
    <xdr:sp macro="" textlink="">
      <xdr:nvSpPr>
        <xdr:cNvPr id="22" name="TextBox 21">
          <a:extLst>
            <a:ext uri="{FF2B5EF4-FFF2-40B4-BE49-F238E27FC236}">
              <a16:creationId xmlns:a16="http://schemas.microsoft.com/office/drawing/2014/main" id="{2D1F0A4B-12BE-60C3-31B9-B53575FFDED7}"/>
            </a:ext>
          </a:extLst>
        </xdr:cNvPr>
        <xdr:cNvSpPr txBox="1"/>
      </xdr:nvSpPr>
      <xdr:spPr>
        <a:xfrm>
          <a:off x="103187" y="2127957"/>
          <a:ext cx="2120900"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8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CA" sz="16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Sales QT 2</a:t>
          </a:r>
          <a:endParaRPr lang="en-CA" sz="16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0</xdr:col>
      <xdr:colOff>79374</xdr:colOff>
      <xdr:row>16</xdr:row>
      <xdr:rowOff>87842</xdr:rowOff>
    </xdr:from>
    <xdr:ext cx="2120900" cy="393506"/>
    <xdr:sp macro="" textlink="">
      <xdr:nvSpPr>
        <xdr:cNvPr id="23" name="TextBox 22">
          <a:extLst>
            <a:ext uri="{FF2B5EF4-FFF2-40B4-BE49-F238E27FC236}">
              <a16:creationId xmlns:a16="http://schemas.microsoft.com/office/drawing/2014/main" id="{B7F229E2-611A-CC86-8342-AE60A0C56DB8}"/>
            </a:ext>
          </a:extLst>
        </xdr:cNvPr>
        <xdr:cNvSpPr txBox="1"/>
      </xdr:nvSpPr>
      <xdr:spPr>
        <a:xfrm>
          <a:off x="79374" y="3008842"/>
          <a:ext cx="2120900"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8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CA" sz="16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Sales</a:t>
          </a:r>
          <a:r>
            <a:rPr lang="en-CA" sz="18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 QT 3</a:t>
          </a:r>
          <a:endParaRPr lang="en-CA" sz="18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0</xdr:col>
      <xdr:colOff>95250</xdr:colOff>
      <xdr:row>20</xdr:row>
      <xdr:rowOff>152049</xdr:rowOff>
    </xdr:from>
    <xdr:ext cx="2120900" cy="393506"/>
    <xdr:sp macro="" textlink="">
      <xdr:nvSpPr>
        <xdr:cNvPr id="24" name="TextBox 23">
          <a:extLst>
            <a:ext uri="{FF2B5EF4-FFF2-40B4-BE49-F238E27FC236}">
              <a16:creationId xmlns:a16="http://schemas.microsoft.com/office/drawing/2014/main" id="{5D902773-488B-0380-4B55-99B931FDB85C}"/>
            </a:ext>
          </a:extLst>
        </xdr:cNvPr>
        <xdr:cNvSpPr txBox="1"/>
      </xdr:nvSpPr>
      <xdr:spPr>
        <a:xfrm>
          <a:off x="95250" y="3803299"/>
          <a:ext cx="2120900" cy="3935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800" baseline="0">
              <a:solidFill>
                <a:schemeClr val="bg1"/>
              </a:solidFill>
              <a:latin typeface="ADLaM Display" panose="02010000000000000000" pitchFamily="2" charset="0"/>
              <a:ea typeface="ADLaM Display" panose="02010000000000000000" pitchFamily="2" charset="0"/>
              <a:cs typeface="ADLaM Display" panose="02010000000000000000" pitchFamily="2" charset="0"/>
            </a:rPr>
            <a:t> </a:t>
          </a:r>
          <a:r>
            <a:rPr lang="en-CA" sz="18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Sales QT 4</a:t>
          </a:r>
          <a:endParaRPr lang="en-CA" sz="18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3</xdr:col>
      <xdr:colOff>55563</xdr:colOff>
      <xdr:row>3</xdr:row>
      <xdr:rowOff>17641</xdr:rowOff>
    </xdr:from>
    <xdr:to>
      <xdr:col>5</xdr:col>
      <xdr:colOff>238126</xdr:colOff>
      <xdr:row>8</xdr:row>
      <xdr:rowOff>119063</xdr:rowOff>
    </xdr:to>
    <xdr:sp macro="" textlink="'PIVOT TABLES'!D20">
      <xdr:nvSpPr>
        <xdr:cNvPr id="25" name="Rectangle 24">
          <a:extLst>
            <a:ext uri="{FF2B5EF4-FFF2-40B4-BE49-F238E27FC236}">
              <a16:creationId xmlns:a16="http://schemas.microsoft.com/office/drawing/2014/main" id="{8F4709A3-0EC4-840C-439A-957E4F548C7E}"/>
            </a:ext>
          </a:extLst>
        </xdr:cNvPr>
        <xdr:cNvSpPr/>
      </xdr:nvSpPr>
      <xdr:spPr>
        <a:xfrm>
          <a:off x="1889126" y="565329"/>
          <a:ext cx="1404938" cy="1014234"/>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1" i="0" u="none" strike="noStrike">
            <a:solidFill>
              <a:schemeClr val="bg1"/>
            </a:solidFill>
            <a:latin typeface="Calibri"/>
            <a:ea typeface="Calibri"/>
            <a:cs typeface="Calibri"/>
          </a:endParaRPr>
        </a:p>
        <a:p>
          <a:pPr marL="0" indent="0" algn="l"/>
          <a:endParaRPr lang="en-US" sz="1100" b="1" i="0" u="none" strike="noStrike">
            <a:solidFill>
              <a:schemeClr val="bg1"/>
            </a:solidFill>
            <a:latin typeface="Calibri"/>
            <a:ea typeface="Calibri"/>
            <a:cs typeface="Calibri"/>
          </a:endParaRPr>
        </a:p>
        <a:p>
          <a:pPr marL="0" indent="0" algn="l"/>
          <a:endParaRPr lang="en-CA" sz="1100" b="1">
            <a:solidFill>
              <a:schemeClr val="bg1"/>
            </a:solidFill>
            <a:latin typeface="+mn-lt"/>
            <a:ea typeface="+mn-ea"/>
            <a:cs typeface="+mn-cs"/>
          </a:endParaRPr>
        </a:p>
      </xdr:txBody>
    </xdr:sp>
    <xdr:clientData/>
  </xdr:twoCellAnchor>
  <xdr:twoCellAnchor>
    <xdr:from>
      <xdr:col>3</xdr:col>
      <xdr:colOff>38807</xdr:colOff>
      <xdr:row>8</xdr:row>
      <xdr:rowOff>150812</xdr:rowOff>
    </xdr:from>
    <xdr:to>
      <xdr:col>5</xdr:col>
      <xdr:colOff>246944</xdr:colOff>
      <xdr:row>14</xdr:row>
      <xdr:rowOff>7938</xdr:rowOff>
    </xdr:to>
    <xdr:sp macro="" textlink="'PIVOT TABLES'!D20">
      <xdr:nvSpPr>
        <xdr:cNvPr id="26" name="Rectangle 25">
          <a:extLst>
            <a:ext uri="{FF2B5EF4-FFF2-40B4-BE49-F238E27FC236}">
              <a16:creationId xmlns:a16="http://schemas.microsoft.com/office/drawing/2014/main" id="{4065E11D-3EB9-A2D8-6476-2AD8341BF2A2}"/>
            </a:ext>
          </a:extLst>
        </xdr:cNvPr>
        <xdr:cNvSpPr/>
      </xdr:nvSpPr>
      <xdr:spPr>
        <a:xfrm>
          <a:off x="1872370" y="1611312"/>
          <a:ext cx="1430512" cy="952501"/>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US" sz="1100" b="1" i="0" u="none" strike="noStrike">
            <a:solidFill>
              <a:schemeClr val="bg1"/>
            </a:solidFill>
            <a:latin typeface="Calibri"/>
            <a:ea typeface="Calibri"/>
            <a:cs typeface="Calibri"/>
          </a:endParaRPr>
        </a:p>
        <a:p>
          <a:pPr marL="0" indent="0" algn="l"/>
          <a:endParaRPr lang="en-US" sz="1100" b="1" i="0" u="none" strike="noStrike">
            <a:solidFill>
              <a:schemeClr val="bg1"/>
            </a:solidFill>
            <a:latin typeface="Calibri"/>
            <a:ea typeface="Calibri"/>
            <a:cs typeface="Calibri"/>
          </a:endParaRPr>
        </a:p>
        <a:p>
          <a:pPr marL="0" indent="0" algn="l"/>
          <a:endParaRPr lang="en-CA" sz="1100" b="1">
            <a:solidFill>
              <a:schemeClr val="bg1"/>
            </a:solidFill>
            <a:latin typeface="+mn-lt"/>
            <a:ea typeface="+mn-ea"/>
            <a:cs typeface="+mn-cs"/>
          </a:endParaRPr>
        </a:p>
      </xdr:txBody>
    </xdr:sp>
    <xdr:clientData/>
  </xdr:twoCellAnchor>
  <xdr:oneCellAnchor>
    <xdr:from>
      <xdr:col>3</xdr:col>
      <xdr:colOff>79728</xdr:colOff>
      <xdr:row>2</xdr:row>
      <xdr:rowOff>177801</xdr:rowOff>
    </xdr:from>
    <xdr:ext cx="1444272" cy="293094"/>
    <xdr:sp macro="" textlink="">
      <xdr:nvSpPr>
        <xdr:cNvPr id="28" name="TextBox 27">
          <a:extLst>
            <a:ext uri="{FF2B5EF4-FFF2-40B4-BE49-F238E27FC236}">
              <a16:creationId xmlns:a16="http://schemas.microsoft.com/office/drawing/2014/main" id="{6D2C9A0F-D597-4473-4A3E-715B679F7495}"/>
            </a:ext>
          </a:extLst>
        </xdr:cNvPr>
        <xdr:cNvSpPr txBox="1"/>
      </xdr:nvSpPr>
      <xdr:spPr>
        <a:xfrm>
          <a:off x="1900061" y="544690"/>
          <a:ext cx="1444272" cy="2930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15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Count of Region</a:t>
          </a:r>
          <a:endParaRPr lang="en-CA" sz="115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3</xdr:col>
      <xdr:colOff>31927</xdr:colOff>
      <xdr:row>9</xdr:row>
      <xdr:rowOff>115890</xdr:rowOff>
    </xdr:from>
    <xdr:ext cx="2120900" cy="259686"/>
    <xdr:sp macro="" textlink="">
      <xdr:nvSpPr>
        <xdr:cNvPr id="29" name="TextBox 28">
          <a:extLst>
            <a:ext uri="{FF2B5EF4-FFF2-40B4-BE49-F238E27FC236}">
              <a16:creationId xmlns:a16="http://schemas.microsoft.com/office/drawing/2014/main" id="{2C29A74D-D5C6-9236-7804-E3C08F5E3081}"/>
            </a:ext>
          </a:extLst>
        </xdr:cNvPr>
        <xdr:cNvSpPr txBox="1"/>
      </xdr:nvSpPr>
      <xdr:spPr>
        <a:xfrm>
          <a:off x="1865490" y="1758953"/>
          <a:ext cx="2120900" cy="2596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0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Count of Department</a:t>
          </a:r>
          <a:endParaRPr lang="en-CA" sz="10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3</xdr:col>
      <xdr:colOff>472899</xdr:colOff>
      <xdr:row>4</xdr:row>
      <xdr:rowOff>26812</xdr:rowOff>
    </xdr:from>
    <xdr:ext cx="2120900" cy="560859"/>
    <xdr:sp macro="" textlink="">
      <xdr:nvSpPr>
        <xdr:cNvPr id="31" name="TextBox 30">
          <a:extLst>
            <a:ext uri="{FF2B5EF4-FFF2-40B4-BE49-F238E27FC236}">
              <a16:creationId xmlns:a16="http://schemas.microsoft.com/office/drawing/2014/main" id="{58BB49A6-A7D4-FF24-7F1F-AB1E87EF66C6}"/>
            </a:ext>
          </a:extLst>
        </xdr:cNvPr>
        <xdr:cNvSpPr txBox="1"/>
      </xdr:nvSpPr>
      <xdr:spPr>
        <a:xfrm>
          <a:off x="2306462" y="757062"/>
          <a:ext cx="2120900" cy="560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28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4</a:t>
          </a:r>
          <a:endParaRPr lang="en-CA" sz="28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oneCellAnchor>
    <xdr:from>
      <xdr:col>3</xdr:col>
      <xdr:colOff>474487</xdr:colOff>
      <xdr:row>10</xdr:row>
      <xdr:rowOff>166867</xdr:rowOff>
    </xdr:from>
    <xdr:ext cx="2120900" cy="560859"/>
    <xdr:sp macro="" textlink="">
      <xdr:nvSpPr>
        <xdr:cNvPr id="32" name="TextBox 31">
          <a:extLst>
            <a:ext uri="{FF2B5EF4-FFF2-40B4-BE49-F238E27FC236}">
              <a16:creationId xmlns:a16="http://schemas.microsoft.com/office/drawing/2014/main" id="{EACE7AA2-77B4-11A9-7BCB-772A39ADF209}"/>
            </a:ext>
          </a:extLst>
        </xdr:cNvPr>
        <xdr:cNvSpPr txBox="1"/>
      </xdr:nvSpPr>
      <xdr:spPr>
        <a:xfrm>
          <a:off x="2308050" y="1992492"/>
          <a:ext cx="2120900" cy="560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2800" baseline="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rPr>
            <a:t>7</a:t>
          </a:r>
          <a:endParaRPr lang="en-CA" sz="2800">
            <a:solidFill>
              <a:sysClr val="windowText" lastClr="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oneCellAnchor>
  <xdr:twoCellAnchor>
    <xdr:from>
      <xdr:col>5</xdr:col>
      <xdr:colOff>293687</xdr:colOff>
      <xdr:row>3</xdr:row>
      <xdr:rowOff>31750</xdr:rowOff>
    </xdr:from>
    <xdr:to>
      <xdr:col>15</xdr:col>
      <xdr:colOff>357187</xdr:colOff>
      <xdr:row>14</xdr:row>
      <xdr:rowOff>7938</xdr:rowOff>
    </xdr:to>
    <xdr:graphicFrame macro="">
      <xdr:nvGraphicFramePr>
        <xdr:cNvPr id="34" name="Chart 33">
          <a:extLst>
            <a:ext uri="{FF2B5EF4-FFF2-40B4-BE49-F238E27FC236}">
              <a16:creationId xmlns:a16="http://schemas.microsoft.com/office/drawing/2014/main" id="{AADC2E99-9633-4DE6-B69C-182D5F802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87311</xdr:colOff>
      <xdr:row>14</xdr:row>
      <xdr:rowOff>55563</xdr:rowOff>
    </xdr:from>
    <xdr:to>
      <xdr:col>7</xdr:col>
      <xdr:colOff>603250</xdr:colOff>
      <xdr:row>25</xdr:row>
      <xdr:rowOff>166686</xdr:rowOff>
    </xdr:to>
    <xdr:graphicFrame macro="">
      <xdr:nvGraphicFramePr>
        <xdr:cNvPr id="35" name="Chart 34">
          <a:extLst>
            <a:ext uri="{FF2B5EF4-FFF2-40B4-BE49-F238E27FC236}">
              <a16:creationId xmlns:a16="http://schemas.microsoft.com/office/drawing/2014/main" id="{28DF6221-319C-486A-93F7-8288A8D87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420685</xdr:colOff>
      <xdr:row>3</xdr:row>
      <xdr:rowOff>23811</xdr:rowOff>
    </xdr:from>
    <xdr:to>
      <xdr:col>21</xdr:col>
      <xdr:colOff>444500</xdr:colOff>
      <xdr:row>25</xdr:row>
      <xdr:rowOff>182561</xdr:rowOff>
    </xdr:to>
    <xdr:graphicFrame macro="">
      <xdr:nvGraphicFramePr>
        <xdr:cNvPr id="38" name="Chart 37">
          <a:extLst>
            <a:ext uri="{FF2B5EF4-FFF2-40B4-BE49-F238E27FC236}">
              <a16:creationId xmlns:a16="http://schemas.microsoft.com/office/drawing/2014/main" id="{9FC945D9-7AAB-4414-A52D-09CF6CE57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63501</xdr:colOff>
      <xdr:row>14</xdr:row>
      <xdr:rowOff>63500</xdr:rowOff>
    </xdr:from>
    <xdr:to>
      <xdr:col>15</xdr:col>
      <xdr:colOff>357188</xdr:colOff>
      <xdr:row>25</xdr:row>
      <xdr:rowOff>166687</xdr:rowOff>
    </xdr:to>
    <xdr:graphicFrame macro="">
      <xdr:nvGraphicFramePr>
        <xdr:cNvPr id="41" name="Chart 40">
          <a:extLst>
            <a:ext uri="{FF2B5EF4-FFF2-40B4-BE49-F238E27FC236}">
              <a16:creationId xmlns:a16="http://schemas.microsoft.com/office/drawing/2014/main" id="{34EF23AA-1E36-4054-8F99-872480A93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508000</xdr:colOff>
      <xdr:row>3</xdr:row>
      <xdr:rowOff>34925</xdr:rowOff>
    </xdr:from>
    <xdr:to>
      <xdr:col>24</xdr:col>
      <xdr:colOff>503238</xdr:colOff>
      <xdr:row>6</xdr:row>
      <xdr:rowOff>79375</xdr:rowOff>
    </xdr:to>
    <mc:AlternateContent xmlns:mc="http://schemas.openxmlformats.org/markup-compatibility/2006" xmlns:a14="http://schemas.microsoft.com/office/drawing/2010/main">
      <mc:Choice Requires="a14">
        <xdr:graphicFrame macro="">
          <xdr:nvGraphicFramePr>
            <xdr:cNvPr id="42" name="Name">
              <a:extLst>
                <a:ext uri="{FF2B5EF4-FFF2-40B4-BE49-F238E27FC236}">
                  <a16:creationId xmlns:a16="http://schemas.microsoft.com/office/drawing/2014/main" id="{C20C8A9D-FA5D-1EF2-D615-71C2B5940B2E}"/>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13271500" y="579211"/>
              <a:ext cx="1818595" cy="58873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515937</xdr:colOff>
      <xdr:row>6</xdr:row>
      <xdr:rowOff>122239</xdr:rowOff>
    </xdr:from>
    <xdr:to>
      <xdr:col>24</xdr:col>
      <xdr:colOff>511175</xdr:colOff>
      <xdr:row>11</xdr:row>
      <xdr:rowOff>47626</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A8D2E58B-E9C6-DEA6-353B-23C6334073C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279437" y="1210810"/>
              <a:ext cx="1818595" cy="83253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515937</xdr:colOff>
      <xdr:row>11</xdr:row>
      <xdr:rowOff>90487</xdr:rowOff>
    </xdr:from>
    <xdr:to>
      <xdr:col>24</xdr:col>
      <xdr:colOff>511175</xdr:colOff>
      <xdr:row>16</xdr:row>
      <xdr:rowOff>7938</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8D026640-3BBF-A5AD-BDA8-96C6CB7613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279437" y="2086201"/>
              <a:ext cx="1818595" cy="82459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523874</xdr:colOff>
      <xdr:row>16</xdr:row>
      <xdr:rowOff>50801</xdr:rowOff>
    </xdr:from>
    <xdr:to>
      <xdr:col>24</xdr:col>
      <xdr:colOff>519112</xdr:colOff>
      <xdr:row>19</xdr:row>
      <xdr:rowOff>55563</xdr:rowOff>
    </xdr:to>
    <mc:AlternateContent xmlns:mc="http://schemas.openxmlformats.org/markup-compatibility/2006" xmlns:a14="http://schemas.microsoft.com/office/drawing/2010/main">
      <mc:Choice Requires="a14">
        <xdr:graphicFrame macro="">
          <xdr:nvGraphicFramePr>
            <xdr:cNvPr id="45" name="Sales (Q1)">
              <a:extLst>
                <a:ext uri="{FF2B5EF4-FFF2-40B4-BE49-F238E27FC236}">
                  <a16:creationId xmlns:a16="http://schemas.microsoft.com/office/drawing/2014/main" id="{5DC2061A-5A7A-7861-E731-8EE7336705EB}"/>
                </a:ext>
              </a:extLst>
            </xdr:cNvPr>
            <xdr:cNvGraphicFramePr/>
          </xdr:nvGraphicFramePr>
          <xdr:xfrm>
            <a:off x="0" y="0"/>
            <a:ext cx="0" cy="0"/>
          </xdr:xfrm>
          <a:graphic>
            <a:graphicData uri="http://schemas.microsoft.com/office/drawing/2010/slicer">
              <sle:slicer xmlns:sle="http://schemas.microsoft.com/office/drawing/2010/slicer" name="Sales (Q1)"/>
            </a:graphicData>
          </a:graphic>
        </xdr:graphicFrame>
      </mc:Choice>
      <mc:Fallback xmlns="">
        <xdr:sp macro="" textlink="">
          <xdr:nvSpPr>
            <xdr:cNvPr id="0" name=""/>
            <xdr:cNvSpPr>
              <a:spLocks noTextEdit="1"/>
            </xdr:cNvSpPr>
          </xdr:nvSpPr>
          <xdr:spPr>
            <a:xfrm>
              <a:off x="13287374" y="2953658"/>
              <a:ext cx="1818595" cy="54904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555625</xdr:colOff>
      <xdr:row>14</xdr:row>
      <xdr:rowOff>58738</xdr:rowOff>
    </xdr:from>
    <xdr:to>
      <xdr:col>27</xdr:col>
      <xdr:colOff>3175</xdr:colOff>
      <xdr:row>25</xdr:row>
      <xdr:rowOff>165100</xdr:rowOff>
    </xdr:to>
    <mc:AlternateContent xmlns:mc="http://schemas.openxmlformats.org/markup-compatibility/2006" xmlns:a14="http://schemas.microsoft.com/office/drawing/2010/main">
      <mc:Choice Requires="a14">
        <xdr:graphicFrame macro="">
          <xdr:nvGraphicFramePr>
            <xdr:cNvPr id="46" name="Sales (Q2)">
              <a:extLst>
                <a:ext uri="{FF2B5EF4-FFF2-40B4-BE49-F238E27FC236}">
                  <a16:creationId xmlns:a16="http://schemas.microsoft.com/office/drawing/2014/main" id="{BF59851F-99D6-B3A6-DBD6-932AE741C9F7}"/>
                </a:ext>
              </a:extLst>
            </xdr:cNvPr>
            <xdr:cNvGraphicFramePr/>
          </xdr:nvGraphicFramePr>
          <xdr:xfrm>
            <a:off x="0" y="0"/>
            <a:ext cx="0" cy="0"/>
          </xdr:xfrm>
          <a:graphic>
            <a:graphicData uri="http://schemas.microsoft.com/office/drawing/2010/slicer">
              <sle:slicer xmlns:sle="http://schemas.microsoft.com/office/drawing/2010/slicer" name="Sales (Q2)"/>
            </a:graphicData>
          </a:graphic>
        </xdr:graphicFrame>
      </mc:Choice>
      <mc:Fallback xmlns="">
        <xdr:sp macro="" textlink="">
          <xdr:nvSpPr>
            <xdr:cNvPr id="0" name=""/>
            <xdr:cNvSpPr>
              <a:spLocks noTextEdit="1"/>
            </xdr:cNvSpPr>
          </xdr:nvSpPr>
          <xdr:spPr>
            <a:xfrm>
              <a:off x="15142482" y="2598738"/>
              <a:ext cx="1263197" cy="2102076"/>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547689</xdr:colOff>
      <xdr:row>8</xdr:row>
      <xdr:rowOff>19051</xdr:rowOff>
    </xdr:from>
    <xdr:to>
      <xdr:col>26</xdr:col>
      <xdr:colOff>576263</xdr:colOff>
      <xdr:row>14</xdr:row>
      <xdr:rowOff>23814</xdr:rowOff>
    </xdr:to>
    <mc:AlternateContent xmlns:mc="http://schemas.openxmlformats.org/markup-compatibility/2006" xmlns:a14="http://schemas.microsoft.com/office/drawing/2010/main">
      <mc:Choice Requires="a14">
        <xdr:graphicFrame macro="">
          <xdr:nvGraphicFramePr>
            <xdr:cNvPr id="47" name="Sales (Q3)">
              <a:extLst>
                <a:ext uri="{FF2B5EF4-FFF2-40B4-BE49-F238E27FC236}">
                  <a16:creationId xmlns:a16="http://schemas.microsoft.com/office/drawing/2014/main" id="{0D2E8529-5509-1790-1D7C-5547F1869652}"/>
                </a:ext>
              </a:extLst>
            </xdr:cNvPr>
            <xdr:cNvGraphicFramePr/>
          </xdr:nvGraphicFramePr>
          <xdr:xfrm>
            <a:off x="0" y="0"/>
            <a:ext cx="0" cy="0"/>
          </xdr:xfrm>
          <a:graphic>
            <a:graphicData uri="http://schemas.microsoft.com/office/drawing/2010/slicer">
              <sle:slicer xmlns:sle="http://schemas.microsoft.com/office/drawing/2010/slicer" name="Sales (Q3)"/>
            </a:graphicData>
          </a:graphic>
        </xdr:graphicFrame>
      </mc:Choice>
      <mc:Fallback xmlns="">
        <xdr:sp macro="" textlink="">
          <xdr:nvSpPr>
            <xdr:cNvPr id="0" name=""/>
            <xdr:cNvSpPr>
              <a:spLocks noTextEdit="1"/>
            </xdr:cNvSpPr>
          </xdr:nvSpPr>
          <xdr:spPr>
            <a:xfrm>
              <a:off x="15134546" y="1470480"/>
              <a:ext cx="1263196" cy="109333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555626</xdr:colOff>
      <xdr:row>3</xdr:row>
      <xdr:rowOff>26988</xdr:rowOff>
    </xdr:from>
    <xdr:to>
      <xdr:col>26</xdr:col>
      <xdr:colOff>571501</xdr:colOff>
      <xdr:row>7</xdr:row>
      <xdr:rowOff>111125</xdr:rowOff>
    </xdr:to>
    <mc:AlternateContent xmlns:mc="http://schemas.openxmlformats.org/markup-compatibility/2006" xmlns:a14="http://schemas.microsoft.com/office/drawing/2010/main">
      <mc:Choice Requires="a14">
        <xdr:graphicFrame macro="">
          <xdr:nvGraphicFramePr>
            <xdr:cNvPr id="48" name="Sales (Q4)">
              <a:extLst>
                <a:ext uri="{FF2B5EF4-FFF2-40B4-BE49-F238E27FC236}">
                  <a16:creationId xmlns:a16="http://schemas.microsoft.com/office/drawing/2014/main" id="{F4B8AC31-3DFF-D899-DC11-05CD9F19E6D0}"/>
                </a:ext>
              </a:extLst>
            </xdr:cNvPr>
            <xdr:cNvGraphicFramePr/>
          </xdr:nvGraphicFramePr>
          <xdr:xfrm>
            <a:off x="0" y="0"/>
            <a:ext cx="0" cy="0"/>
          </xdr:xfrm>
          <a:graphic>
            <a:graphicData uri="http://schemas.microsoft.com/office/drawing/2010/slicer">
              <sle:slicer xmlns:sle="http://schemas.microsoft.com/office/drawing/2010/slicer" name="Sales (Q4)"/>
            </a:graphicData>
          </a:graphic>
        </xdr:graphicFrame>
      </mc:Choice>
      <mc:Fallback xmlns="">
        <xdr:sp macro="" textlink="">
          <xdr:nvSpPr>
            <xdr:cNvPr id="0" name=""/>
            <xdr:cNvSpPr>
              <a:spLocks noTextEdit="1"/>
            </xdr:cNvSpPr>
          </xdr:nvSpPr>
          <xdr:spPr>
            <a:xfrm>
              <a:off x="15142483" y="571274"/>
              <a:ext cx="1231447" cy="80985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523875</xdr:colOff>
      <xdr:row>19</xdr:row>
      <xdr:rowOff>90486</xdr:rowOff>
    </xdr:from>
    <xdr:to>
      <xdr:col>24</xdr:col>
      <xdr:colOff>519113</xdr:colOff>
      <xdr:row>25</xdr:row>
      <xdr:rowOff>177799</xdr:rowOff>
    </xdr:to>
    <mc:AlternateContent xmlns:mc="http://schemas.openxmlformats.org/markup-compatibility/2006" xmlns:a14="http://schemas.microsoft.com/office/drawing/2010/main">
      <mc:Choice Requires="a14">
        <xdr:graphicFrame macro="">
          <xdr:nvGraphicFramePr>
            <xdr:cNvPr id="49" name="Employee Total Sales">
              <a:extLst>
                <a:ext uri="{FF2B5EF4-FFF2-40B4-BE49-F238E27FC236}">
                  <a16:creationId xmlns:a16="http://schemas.microsoft.com/office/drawing/2014/main" id="{A44AE1D6-E428-3B3A-8F7D-F29EAE62B9AB}"/>
                </a:ext>
              </a:extLst>
            </xdr:cNvPr>
            <xdr:cNvGraphicFramePr/>
          </xdr:nvGraphicFramePr>
          <xdr:xfrm>
            <a:off x="0" y="0"/>
            <a:ext cx="0" cy="0"/>
          </xdr:xfrm>
          <a:graphic>
            <a:graphicData uri="http://schemas.microsoft.com/office/drawing/2010/slicer">
              <sle:slicer xmlns:sle="http://schemas.microsoft.com/office/drawing/2010/slicer" name="Employee Total Sales"/>
            </a:graphicData>
          </a:graphic>
        </xdr:graphicFrame>
      </mc:Choice>
      <mc:Fallback xmlns="">
        <xdr:sp macro="" textlink="">
          <xdr:nvSpPr>
            <xdr:cNvPr id="0" name=""/>
            <xdr:cNvSpPr>
              <a:spLocks noTextEdit="1"/>
            </xdr:cNvSpPr>
          </xdr:nvSpPr>
          <xdr:spPr>
            <a:xfrm>
              <a:off x="13287375" y="3537629"/>
              <a:ext cx="1818595" cy="117588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ystal" refreshedDate="45936.469897453702" createdVersion="8" refreshedVersion="8" minRefreshableVersion="3" recordCount="500" xr:uid="{197F4757-FFA4-4D63-B9B0-F9EC28F4ACA1}">
  <cacheSource type="worksheet">
    <worksheetSource name="Table1"/>
  </cacheSource>
  <cacheFields count="13">
    <cacheField name="Employee ID" numFmtId="0">
      <sharedItems containsSemiMixedTypes="0" containsString="0" containsNumber="1" containsInteger="1" minValue="101" maxValue="600"/>
    </cacheField>
    <cacheField name="Name" numFmtId="0">
      <sharedItems count="217">
        <s v="David Wright"/>
        <s v="Michael Garcia"/>
        <s v="Elizabeth Miller"/>
        <s v="Elizabeth Wright"/>
        <s v="James Wilson"/>
        <s v="David O’Connel"/>
        <s v="James Anderson"/>
        <s v="John Anderson"/>
        <s v="Patricia Martinez"/>
        <s v="William Thomas"/>
        <s v="Elizabeth Wilson"/>
        <s v="Susan Garcia"/>
        <s v="James Martinez"/>
        <s v="James Brown"/>
        <s v="Patricia Davis"/>
        <s v="Barbara O’Connel"/>
        <s v="David Adams"/>
        <s v="Mary Garcia"/>
        <s v="Anna O’Connel"/>
        <s v="Susan Wright"/>
        <s v="Robert Taylor"/>
        <s v="Barbara Anderson"/>
        <s v="Barbara Taylor"/>
        <s v="Elizabeth Brown"/>
        <s v="Robert Garcia"/>
        <s v="Jennifer Wilson"/>
        <s v="William Wilson"/>
        <s v="Jennifer Adams"/>
        <s v="William Davis"/>
        <s v="Elizabeth Anderson"/>
        <s v="Peter Martinez"/>
        <s v="Peter O’Connel"/>
        <s v="Elizabeth Taylor"/>
        <s v="Susan O’Connel"/>
        <s v="Robert Lopez"/>
        <s v="Elizabeth Rodriguez"/>
        <s v="Richard Wilson"/>
        <s v="Jennifer Rodriguez"/>
        <s v="Richard Anderson"/>
        <s v="Barbara Wilson"/>
        <s v="Jennifer Wright"/>
        <s v="William Martinez"/>
        <s v="Barbara Martinez"/>
        <s v="William Brown"/>
        <s v="Peter Rodriguez"/>
        <s v="Richard Rodriguez"/>
        <s v="Barbara Lopez"/>
        <s v="Peter Wilson"/>
        <s v="Susan Lopez"/>
        <s v="Michael Wright"/>
        <s v="Linda Adams"/>
        <s v="Mary O’Connel"/>
        <s v="Barbara Brown"/>
        <s v="Michael Thomas"/>
        <s v="Mary Miller"/>
        <s v="Linda Wilson"/>
        <s v="Anna Adams"/>
        <s v="Anna Garcia"/>
        <s v="Patricia Anderson"/>
        <s v="Barbara Rodriguez"/>
        <s v="Susan Thomas"/>
        <s v="David Davis"/>
        <s v="Peter Miller"/>
        <s v="Peter Brown"/>
        <s v="John Lopez"/>
        <s v="Anna Johnson"/>
        <s v="Mary Taylor"/>
        <s v="Elizabeth Martinez"/>
        <s v="John Wilson"/>
        <s v="Susan Johnson"/>
        <s v="Patricia Adams"/>
        <s v="Peter Thomas"/>
        <s v="Richard Lopez"/>
        <s v="Jennifer Brown"/>
        <s v="Susan Rodriguez"/>
        <s v="John Adams"/>
        <s v="Anna Taylor"/>
        <s v="Patricia Smith"/>
        <s v="Michael Smith"/>
        <s v="Patricia Wilson"/>
        <s v="John O’Connel"/>
        <s v="Barbara Smith"/>
        <s v="Michael Taylor"/>
        <s v="Patricia Brown"/>
        <s v="Peter Garcia"/>
        <s v="Mary Johnson"/>
        <s v="Barbara Wright"/>
        <s v="David Miller"/>
        <s v="James Garcia"/>
        <s v="David Lopez"/>
        <s v="Susan Anderson"/>
        <s v="Patricia Rodriguez"/>
        <s v="Robert Thomas"/>
        <s v="Robert Miller"/>
        <s v="John Davis"/>
        <s v="Michael Rodriguez"/>
        <s v="Anna Rodriguez"/>
        <s v="Elizabeth Garcia"/>
        <s v="Richard Wright"/>
        <s v="James Adams"/>
        <s v="David Johnson"/>
        <s v="Michael Miller"/>
        <s v="Linda Davis"/>
        <s v="John Wright"/>
        <s v="Robert O’Connel"/>
        <s v="Anna Lopez"/>
        <s v="John Miller"/>
        <s v="John Thomas"/>
        <s v="Jennifer O’Connel"/>
        <s v="Jennifer Taylor"/>
        <s v="William Johnson"/>
        <s v="Michael Anderson"/>
        <s v="David Garcia"/>
        <s v="Robert Wilson"/>
        <s v="Jennifer Garcia"/>
        <s v="Susan Wilson"/>
        <s v="Susan Taylor"/>
        <s v="Linda Miller"/>
        <s v="Richard Martinez"/>
        <s v="Michael Adams"/>
        <s v="James Miller"/>
        <s v="Richard Thomas"/>
        <s v="Patricia Taylor"/>
        <s v="Anna Martinez"/>
        <s v="Elizabeth Thomas"/>
        <s v="James Taylor"/>
        <s v="Peter Adams"/>
        <s v="Susan Brown"/>
        <s v="Michael Brown"/>
        <s v="Susan Martinez"/>
        <s v="Jennifer Thomas"/>
        <s v="Jennifer Lopez"/>
        <s v="Patricia Garcia"/>
        <s v="James Lopez"/>
        <s v="Robert Adams"/>
        <s v="Robert Smith"/>
        <s v="Anna Miller"/>
        <s v="John Johnson"/>
        <s v="Jennifer Johnson"/>
        <s v="Michael Wilson"/>
        <s v="Peter Lopez"/>
        <s v="Elizabeth Lopez"/>
        <s v="Susan Adams"/>
        <s v="Susan Davis"/>
        <s v="Patricia Thomas"/>
        <s v="Jennifer Smith"/>
        <s v="Mary Rodriguez"/>
        <s v="Michael O’Connel"/>
        <s v="Richard Adams"/>
        <s v="Mary Thomas"/>
        <s v="James Wright"/>
        <s v="James O’Connel"/>
        <s v="Robert Brown"/>
        <s v="James Thomas"/>
        <s v="Anna Thomas"/>
        <s v="Richard Taylor"/>
        <s v="Linda Thomas"/>
        <s v="Robert Johnson"/>
        <s v="Patricia Johnson"/>
        <s v="Linda Wright"/>
        <s v="Linda Taylor"/>
        <s v="Michael Davis"/>
        <s v="Linda Johnson"/>
        <s v="James Rodriguez"/>
        <s v="Linda Rodriguez"/>
        <s v="Patricia Lopez"/>
        <s v="Anna Brown"/>
        <s v="William Garcia"/>
        <s v="Peter Johnson"/>
        <s v="William Wright"/>
        <s v="Anna Anderson"/>
        <s v="Susan Smith"/>
        <s v="Linda Garcia"/>
        <s v="James Johnson"/>
        <s v="William Rodriguez"/>
        <s v="William Lopez"/>
        <s v="Mary Adams"/>
        <s v="David Taylor"/>
        <s v="John Taylor"/>
        <s v="Richard Brown"/>
        <s v="John Brown"/>
        <s v="Peter Davis"/>
        <s v="Anna Wilson"/>
        <s v="Anna Smith"/>
        <s v="William O’Connel"/>
        <s v="Mary Anderson"/>
        <s v="Mary Lopez"/>
        <s v="Mary Wilson"/>
        <s v="Peter Wright"/>
        <s v="Mary Wright"/>
        <s v="Michael Lopez"/>
        <s v="David Thomas"/>
        <s v="Barbara Johnson"/>
        <s v="James Smith"/>
        <s v="Anna Davis"/>
        <s v="Barbara Adams"/>
        <s v="Robert Anderson"/>
        <s v="Richard O’Connel"/>
        <s v="Linda O’Connel"/>
        <s v="David Rodriguez"/>
        <s v="Richard Smith"/>
        <s v="Richard Johnson"/>
        <s v="Patricia Miller"/>
        <s v="Michael Johnson"/>
        <s v="Mary Davis"/>
        <s v="Elizabeth Smith"/>
        <s v="Patricia Wright"/>
        <s v="Robert Martinez"/>
        <s v="Jennifer Anderson"/>
        <s v="William Miller"/>
        <s v="Linda Martinez"/>
        <s v="Richard Davis"/>
        <s v="Jennifer Davis"/>
        <s v="Barbara Miller"/>
        <s v="David Wilson"/>
        <s v="Barbara Thomas"/>
        <s v="Peter Smith"/>
      </sharedItems>
    </cacheField>
    <cacheField name="Department" numFmtId="0">
      <sharedItems count="7">
        <s v="Support"/>
        <s v="Finance"/>
        <s v="Marketing"/>
        <s v="Sales"/>
        <s v="HR"/>
        <s v="IT"/>
        <s v="Operations"/>
      </sharedItems>
    </cacheField>
    <cacheField name="Region" numFmtId="0">
      <sharedItems count="4">
        <s v="South"/>
        <s v="East"/>
        <s v="West"/>
        <s v="North"/>
      </sharedItems>
    </cacheField>
    <cacheField name="Email" numFmtId="0">
      <sharedItems/>
    </cacheField>
    <cacheField name="Phone Number" numFmtId="0">
      <sharedItems/>
    </cacheField>
    <cacheField name="Sales (Q1)" numFmtId="164">
      <sharedItems containsSemiMixedTypes="0" containsString="0" containsNumber="1" containsInteger="1" minValue="20095" maxValue="90013" count="496">
        <n v="79690"/>
        <n v="78662"/>
        <n v="73065"/>
        <n v="67503"/>
        <n v="76693"/>
        <n v="75888"/>
        <n v="53856"/>
        <n v="58937"/>
        <n v="77584"/>
        <n v="63495"/>
        <n v="61294"/>
        <n v="64586"/>
        <n v="72733"/>
        <n v="56616"/>
        <n v="53522"/>
        <n v="66345"/>
        <n v="62116"/>
        <n v="63530"/>
        <n v="78168"/>
        <n v="70294"/>
        <n v="74820"/>
        <n v="70420"/>
        <n v="44707"/>
        <n v="63637"/>
        <n v="68685"/>
        <n v="78855"/>
        <n v="62090"/>
        <n v="73994"/>
        <n v="36728"/>
        <n v="58469"/>
        <n v="33855"/>
        <n v="45193"/>
        <n v="79684"/>
        <n v="76149"/>
        <n v="79165"/>
        <n v="26783"/>
        <n v="63423"/>
        <n v="36075"/>
        <n v="76153"/>
        <n v="49395"/>
        <n v="69708"/>
        <n v="60517"/>
        <n v="57236"/>
        <n v="78915"/>
        <n v="30734"/>
        <n v="48545"/>
        <n v="59660"/>
        <n v="61252"/>
        <n v="38673"/>
        <n v="69732"/>
        <n v="77101"/>
        <n v="72964"/>
        <n v="79539"/>
        <n v="61297"/>
        <n v="54356"/>
        <n v="52905"/>
        <n v="68957"/>
        <n v="36840"/>
        <n v="73636"/>
        <n v="59306"/>
        <n v="33309"/>
        <n v="49885"/>
        <n v="74710"/>
        <n v="53926"/>
        <n v="32343"/>
        <n v="57741"/>
        <n v="38331"/>
        <n v="52887"/>
        <n v="50343"/>
        <n v="40419"/>
        <n v="77435"/>
        <n v="75476"/>
        <n v="69731"/>
        <n v="62329"/>
        <n v="49203"/>
        <n v="54818"/>
        <n v="70649"/>
        <n v="90013"/>
        <n v="67615"/>
        <n v="65550"/>
        <n v="61644"/>
        <n v="70394"/>
        <n v="79155"/>
        <n v="71823"/>
        <n v="47493"/>
        <n v="68296"/>
        <n v="26711"/>
        <n v="59911"/>
        <n v="40757"/>
        <n v="45633"/>
        <n v="59309"/>
        <n v="45388"/>
        <n v="77679"/>
        <n v="30522"/>
        <n v="55300"/>
        <n v="71744"/>
        <n v="71952"/>
        <n v="41756"/>
        <n v="58832"/>
        <n v="47297"/>
        <n v="66185"/>
        <n v="77533"/>
        <n v="70484"/>
        <n v="26716"/>
        <n v="49694"/>
        <n v="65240"/>
        <n v="57172"/>
        <n v="61864"/>
        <n v="47023"/>
        <n v="72506"/>
        <n v="58718"/>
        <n v="58992"/>
        <n v="56629"/>
        <n v="61371"/>
        <n v="28479"/>
        <n v="59207"/>
        <n v="53898"/>
        <n v="74378"/>
        <n v="77426"/>
        <n v="44712"/>
        <n v="43459"/>
        <n v="65265"/>
        <n v="48578"/>
        <n v="70788"/>
        <n v="77731"/>
        <n v="70467"/>
        <n v="52271"/>
        <n v="44140"/>
        <n v="72431"/>
        <n v="40472"/>
        <n v="68666"/>
        <n v="40269"/>
        <n v="79533"/>
        <n v="46772"/>
        <n v="69424"/>
        <n v="79337"/>
        <n v="76740"/>
        <n v="70520"/>
        <n v="59446"/>
        <n v="75923"/>
        <n v="21156"/>
        <n v="68034"/>
        <n v="46054"/>
        <n v="74358"/>
        <n v="59096"/>
        <n v="68246"/>
        <n v="56936"/>
        <n v="69754"/>
        <n v="46148"/>
        <n v="38226"/>
        <n v="79815"/>
        <n v="54432"/>
        <n v="60961"/>
        <n v="77728"/>
        <n v="29763"/>
        <n v="25147"/>
        <n v="77287"/>
        <n v="42187"/>
        <n v="41875"/>
        <n v="23419"/>
        <n v="77262"/>
        <n v="60613"/>
        <n v="39427"/>
        <n v="48220"/>
        <n v="31754"/>
        <n v="60542"/>
        <n v="55531"/>
        <n v="75678"/>
        <n v="74387"/>
        <n v="72220"/>
        <n v="21716"/>
        <n v="49039"/>
        <n v="48344"/>
        <n v="67884"/>
        <n v="36474"/>
        <n v="37126"/>
        <n v="77246"/>
        <n v="72833"/>
        <n v="53642"/>
        <n v="31767"/>
        <n v="28980"/>
        <n v="66926"/>
        <n v="62839"/>
        <n v="52654"/>
        <n v="76275"/>
        <n v="67769"/>
        <n v="37090"/>
        <n v="44524"/>
        <n v="37583"/>
        <n v="32335"/>
        <n v="39757"/>
        <n v="60294"/>
        <n v="70166"/>
        <n v="63615"/>
        <n v="34353"/>
        <n v="63336"/>
        <n v="63166"/>
        <n v="66146"/>
        <n v="52806"/>
        <n v="46401"/>
        <n v="57445"/>
        <n v="29124"/>
        <n v="39109"/>
        <n v="45695"/>
        <n v="67474"/>
        <n v="73038"/>
        <n v="31839"/>
        <n v="41091"/>
        <n v="51945"/>
        <n v="65482"/>
        <n v="69477"/>
        <n v="42112"/>
        <n v="45894"/>
        <n v="33386"/>
        <n v="53532"/>
        <n v="66670"/>
        <n v="53234"/>
        <n v="49758"/>
        <n v="63152"/>
        <n v="29712"/>
        <n v="66983"/>
        <n v="48130"/>
        <n v="24444"/>
        <n v="64503"/>
        <n v="63187"/>
        <n v="65786"/>
        <n v="44464"/>
        <n v="23885"/>
        <n v="70444"/>
        <n v="62437"/>
        <n v="68108"/>
        <n v="54973"/>
        <n v="33555"/>
        <n v="45218"/>
        <n v="66471"/>
        <n v="40888"/>
        <n v="26678"/>
        <n v="33743"/>
        <n v="45396"/>
        <n v="27270"/>
        <n v="61282"/>
        <n v="35753"/>
        <n v="41015"/>
        <n v="78029"/>
        <n v="50323"/>
        <n v="28817"/>
        <n v="68702"/>
        <n v="70536"/>
        <n v="74057"/>
        <n v="73829"/>
        <n v="20095"/>
        <n v="57164"/>
        <n v="59694"/>
        <n v="47298"/>
        <n v="38630"/>
        <n v="35785"/>
        <n v="59622"/>
        <n v="53849"/>
        <n v="57387"/>
        <n v="50294"/>
        <n v="43253"/>
        <n v="44014"/>
        <n v="71321"/>
        <n v="22769"/>
        <n v="40862"/>
        <n v="59608"/>
        <n v="64349"/>
        <n v="57878"/>
        <n v="67105"/>
        <n v="54925"/>
        <n v="35989"/>
        <n v="50229"/>
        <n v="35306"/>
        <n v="68655"/>
        <n v="28519"/>
        <n v="71264"/>
        <n v="38983"/>
        <n v="38803"/>
        <n v="49718"/>
        <n v="72094"/>
        <n v="31835"/>
        <n v="53516"/>
        <n v="33316"/>
        <n v="63839"/>
        <n v="55296"/>
        <n v="52225"/>
        <n v="53118"/>
        <n v="59087"/>
        <n v="32293"/>
        <n v="75095"/>
        <n v="52702"/>
        <n v="21375"/>
        <n v="67079"/>
        <n v="46130"/>
        <n v="27486"/>
        <n v="59738"/>
        <n v="60800"/>
        <n v="25116"/>
        <n v="79526"/>
        <n v="30405"/>
        <n v="26338"/>
        <n v="23367"/>
        <n v="50409"/>
        <n v="56338"/>
        <n v="51759"/>
        <n v="41388"/>
        <n v="59939"/>
        <n v="31758"/>
        <n v="32280"/>
        <n v="50305"/>
        <n v="54057"/>
        <n v="28099"/>
        <n v="24185"/>
        <n v="51443"/>
        <n v="34465"/>
        <n v="68877"/>
        <n v="26007"/>
        <n v="34541"/>
        <n v="39647"/>
        <n v="41356"/>
        <n v="58696"/>
        <n v="50818"/>
        <n v="75883"/>
        <n v="39562"/>
        <n v="21682"/>
        <n v="37949"/>
        <n v="26013"/>
        <n v="35152"/>
        <n v="40826"/>
        <n v="29680"/>
        <n v="43666"/>
        <n v="23128"/>
        <n v="31092"/>
        <n v="40704"/>
        <n v="40246"/>
        <n v="66253"/>
        <n v="20515"/>
        <n v="37157"/>
        <n v="57456"/>
        <n v="45826"/>
        <n v="26280"/>
        <n v="34522"/>
        <n v="20830"/>
        <n v="49377"/>
        <n v="60889"/>
        <n v="62697"/>
        <n v="55388"/>
        <n v="34565"/>
        <n v="49935"/>
        <n v="63402"/>
        <n v="28524"/>
        <n v="76944"/>
        <n v="21556"/>
        <n v="53768"/>
        <n v="48082"/>
        <n v="56099"/>
        <n v="57995"/>
        <n v="75335"/>
        <n v="33094"/>
        <n v="25052"/>
        <n v="69014"/>
        <n v="70421"/>
        <n v="31132"/>
        <n v="65329"/>
        <n v="66762"/>
        <n v="55172"/>
        <n v="61846"/>
        <n v="31219"/>
        <n v="40611"/>
        <n v="27388"/>
        <n v="33885"/>
        <n v="64874"/>
        <n v="73991"/>
        <n v="45333"/>
        <n v="25245"/>
        <n v="29755"/>
        <n v="64229"/>
        <n v="25796"/>
        <n v="64579"/>
        <n v="20555"/>
        <n v="74686"/>
        <n v="57875"/>
        <n v="24163"/>
        <n v="55439"/>
        <n v="68333"/>
        <n v="35765"/>
        <n v="33086"/>
        <n v="46746"/>
        <n v="46439"/>
        <n v="73502"/>
        <n v="32132"/>
        <n v="51649"/>
        <n v="22416"/>
        <n v="32230"/>
        <n v="37852"/>
        <n v="27448"/>
        <n v="48712"/>
        <n v="40735"/>
        <n v="24364"/>
        <n v="30157"/>
        <n v="20927"/>
        <n v="56675"/>
        <n v="20273"/>
        <n v="24816"/>
        <n v="65484"/>
        <n v="44844"/>
        <n v="20723"/>
        <n v="47190"/>
        <n v="47313"/>
        <n v="53450"/>
        <n v="30094"/>
        <n v="41827"/>
        <n v="65091"/>
        <n v="40476"/>
        <n v="26308"/>
        <n v="23129"/>
        <n v="23934"/>
        <n v="48031"/>
        <n v="48562"/>
        <n v="34031"/>
        <n v="34711"/>
        <n v="42849"/>
        <n v="42461"/>
        <n v="59503"/>
        <n v="41576"/>
        <n v="37367"/>
        <n v="48920"/>
        <n v="27793"/>
        <n v="76492"/>
        <n v="66811"/>
        <n v="72732"/>
        <n v="23481"/>
        <n v="42534"/>
        <n v="36205"/>
        <n v="58534"/>
        <n v="31681"/>
        <n v="54723"/>
        <n v="54733"/>
        <n v="54794"/>
        <n v="72485"/>
        <n v="36518"/>
        <n v="21550"/>
        <n v="26127"/>
        <n v="53324"/>
        <n v="37145"/>
        <n v="37226"/>
        <n v="55888"/>
        <n v="34735"/>
        <n v="31432"/>
        <n v="21831"/>
        <n v="32051"/>
        <n v="45890"/>
        <n v="26612"/>
        <n v="32025"/>
        <n v="41013"/>
        <n v="67213"/>
        <n v="52684"/>
        <n v="34789"/>
        <n v="25006"/>
        <n v="66734"/>
        <n v="47014"/>
        <n v="31615"/>
        <n v="22756"/>
        <n v="37200"/>
        <n v="39531"/>
        <n v="25042"/>
        <n v="25978"/>
        <n v="49552"/>
        <n v="26822"/>
        <n v="24319"/>
        <n v="29022"/>
        <n v="44836"/>
        <n v="49671"/>
        <n v="66692"/>
        <n v="40254"/>
        <n v="56503"/>
        <n v="24240"/>
        <n v="30046"/>
        <n v="20308"/>
        <n v="46544"/>
        <n v="35368"/>
        <n v="49616"/>
        <n v="37324"/>
        <n v="62927"/>
        <n v="59277"/>
        <n v="26636"/>
        <n v="29363"/>
        <n v="38137"/>
        <n v="21315"/>
        <n v="26977"/>
        <n v="30733"/>
        <n v="29827"/>
        <n v="33383"/>
        <n v="36854"/>
        <n v="20903"/>
        <n v="29160"/>
      </sharedItems>
    </cacheField>
    <cacheField name="Sales (Q2)" numFmtId="164">
      <sharedItems containsSemiMixedTypes="0" containsString="0" containsNumber="1" containsInteger="1" minValue="20018" maxValue="79961" count="499">
        <n v="67651"/>
        <n v="78182"/>
        <n v="72298"/>
        <n v="79056"/>
        <n v="64944"/>
        <n v="62907"/>
        <n v="70104"/>
        <n v="63031"/>
        <n v="45373"/>
        <n v="71930"/>
        <n v="72177"/>
        <n v="69462"/>
        <n v="69918"/>
        <n v="74614"/>
        <n v="63408"/>
        <n v="56829"/>
        <n v="77976"/>
        <n v="74328"/>
        <n v="55679"/>
        <n v="73636"/>
        <n v="61601"/>
        <n v="47982"/>
        <n v="79648"/>
        <n v="65669"/>
        <n v="55118"/>
        <n v="50064"/>
        <n v="72818"/>
        <n v="63386"/>
        <n v="70545"/>
        <n v="71509"/>
        <n v="79065"/>
        <n v="65171"/>
        <n v="76899"/>
        <n v="24561"/>
        <n v="77470"/>
        <n v="73147"/>
        <n v="46244"/>
        <n v="74374"/>
        <n v="43860"/>
        <n v="76991"/>
        <n v="40456"/>
        <n v="59888"/>
        <n v="61277"/>
        <n v="72174"/>
        <n v="72800"/>
        <n v="74115"/>
        <n v="70397"/>
        <n v="72141"/>
        <n v="69308"/>
        <n v="79405"/>
        <n v="63222"/>
        <n v="55484"/>
        <n v="49014"/>
        <n v="49058"/>
        <n v="61223"/>
        <n v="57435"/>
        <n v="59587"/>
        <n v="79903"/>
        <n v="69226"/>
        <n v="65378"/>
        <n v="60669"/>
        <n v="44458"/>
        <n v="73028"/>
        <n v="58432"/>
        <n v="78451"/>
        <n v="62589"/>
        <n v="74087"/>
        <n v="48474"/>
        <n v="64138"/>
        <n v="71493"/>
        <n v="70220"/>
        <n v="72257"/>
        <n v="66238"/>
        <n v="23877"/>
        <n v="69338"/>
        <n v="61774"/>
        <n v="61153"/>
        <n v="21271"/>
        <n v="66751"/>
        <n v="59166"/>
        <n v="75530"/>
        <n v="36268"/>
        <n v="45132"/>
        <n v="39334"/>
        <n v="61697"/>
        <n v="47063"/>
        <n v="68233"/>
        <n v="65384"/>
        <n v="56592"/>
        <n v="50347"/>
        <n v="22558"/>
        <n v="53824"/>
        <n v="79961"/>
        <n v="76042"/>
        <n v="22028"/>
        <n v="70375"/>
        <n v="55425"/>
        <n v="56710"/>
        <n v="25566"/>
        <n v="76874"/>
        <n v="38892"/>
        <n v="51454"/>
        <n v="61055"/>
        <n v="60377"/>
        <n v="41293"/>
        <n v="36390"/>
        <n v="71598"/>
        <n v="79926"/>
        <n v="70081"/>
        <n v="54803"/>
        <n v="30567"/>
        <n v="72374"/>
        <n v="59023"/>
        <n v="60128"/>
        <n v="66171"/>
        <n v="27126"/>
        <n v="69743"/>
        <n v="47975"/>
        <n v="29388"/>
        <n v="56907"/>
        <n v="64203"/>
        <n v="69103"/>
        <n v="76907"/>
        <n v="37058"/>
        <n v="37092"/>
        <n v="39626"/>
        <n v="29204"/>
        <n v="73969"/>
        <n v="68401"/>
        <n v="79620"/>
        <n v="23671"/>
        <n v="46093"/>
        <n v="37408"/>
        <n v="49524"/>
        <n v="57599"/>
        <n v="22058"/>
        <n v="62974"/>
        <n v="76722"/>
        <n v="28054"/>
        <n v="40537"/>
        <n v="59880"/>
        <n v="63063"/>
        <n v="29695"/>
        <n v="74646"/>
        <n v="48479"/>
        <n v="77186"/>
        <n v="61787"/>
        <n v="22430"/>
        <n v="64019"/>
        <n v="60616"/>
        <n v="70169"/>
        <n v="57692"/>
        <n v="39845"/>
        <n v="24508"/>
        <n v="76776"/>
        <n v="69528"/>
        <n v="22585"/>
        <n v="60845"/>
        <n v="42914"/>
        <n v="62020"/>
        <n v="28411"/>
        <n v="64769"/>
        <n v="78869"/>
        <n v="59482"/>
        <n v="68271"/>
        <n v="30537"/>
        <n v="39029"/>
        <n v="53238"/>
        <n v="62342"/>
        <n v="25707"/>
        <n v="69967"/>
        <n v="63380"/>
        <n v="46801"/>
        <n v="44451"/>
        <n v="41908"/>
        <n v="59677"/>
        <n v="68180"/>
        <n v="79622"/>
        <n v="42396"/>
        <n v="71522"/>
        <n v="66765"/>
        <n v="70868"/>
        <n v="44806"/>
        <n v="53733"/>
        <n v="76552"/>
        <n v="71265"/>
        <n v="56261"/>
        <n v="71442"/>
        <n v="77571"/>
        <n v="56400"/>
        <n v="60025"/>
        <n v="36173"/>
        <n v="48504"/>
        <n v="35748"/>
        <n v="26298"/>
        <n v="21920"/>
        <n v="34935"/>
        <n v="30101"/>
        <n v="44687"/>
        <n v="69935"/>
        <n v="53791"/>
        <n v="30302"/>
        <n v="71435"/>
        <n v="56949"/>
        <n v="32016"/>
        <n v="57284"/>
        <n v="28440"/>
        <n v="74719"/>
        <n v="66693"/>
        <n v="70070"/>
        <n v="39625"/>
        <n v="33349"/>
        <n v="47684"/>
        <n v="73878"/>
        <n v="63891"/>
        <n v="56161"/>
        <n v="52881"/>
        <n v="40269"/>
        <n v="53896"/>
        <n v="58621"/>
        <n v="57132"/>
        <n v="58217"/>
        <n v="62957"/>
        <n v="56525"/>
        <n v="49486"/>
        <n v="48249"/>
        <n v="22861"/>
        <n v="55418"/>
        <n v="38174"/>
        <n v="50371"/>
        <n v="42362"/>
        <n v="21436"/>
        <n v="62514"/>
        <n v="74584"/>
        <n v="70543"/>
        <n v="28944"/>
        <n v="65633"/>
        <n v="72684"/>
        <n v="60905"/>
        <n v="32116"/>
        <n v="77010"/>
        <n v="27737"/>
        <n v="29861"/>
        <n v="59532"/>
        <n v="34323"/>
        <n v="57757"/>
        <n v="27996"/>
        <n v="21296"/>
        <n v="28573"/>
        <n v="33883"/>
        <n v="40196"/>
        <n v="69737"/>
        <n v="73370"/>
        <n v="45530"/>
        <n v="64721"/>
        <n v="64650"/>
        <n v="77541"/>
        <n v="64512"/>
        <n v="55104"/>
        <n v="46201"/>
        <n v="44867"/>
        <n v="72286"/>
        <n v="31486"/>
        <n v="65830"/>
        <n v="75575"/>
        <n v="50462"/>
        <n v="48144"/>
        <n v="28697"/>
        <n v="54245"/>
        <n v="60481"/>
        <n v="56449"/>
        <n v="29671"/>
        <n v="62249"/>
        <n v="59764"/>
        <n v="56256"/>
        <n v="55403"/>
        <n v="21304"/>
        <n v="62068"/>
        <n v="33774"/>
        <n v="59094"/>
        <n v="32428"/>
        <n v="77730"/>
        <n v="38277"/>
        <n v="72957"/>
        <n v="42675"/>
        <n v="51741"/>
        <n v="33151"/>
        <n v="59453"/>
        <n v="29035"/>
        <n v="53976"/>
        <n v="53444"/>
        <n v="68307"/>
        <n v="74489"/>
        <n v="68055"/>
        <n v="28569"/>
        <n v="42801"/>
        <n v="32748"/>
        <n v="70160"/>
        <n v="44202"/>
        <n v="32265"/>
        <n v="59564"/>
        <n v="43526"/>
        <n v="36546"/>
        <n v="46132"/>
        <n v="22577"/>
        <n v="28947"/>
        <n v="23606"/>
        <n v="49818"/>
        <n v="25841"/>
        <n v="48244"/>
        <n v="32993"/>
        <n v="72042"/>
        <n v="49804"/>
        <n v="37232"/>
        <n v="63845"/>
        <n v="59711"/>
        <n v="34280"/>
        <n v="63435"/>
        <n v="34078"/>
        <n v="51122"/>
        <n v="56447"/>
        <n v="22956"/>
        <n v="37054"/>
        <n v="54807"/>
        <n v="34736"/>
        <n v="40444"/>
        <n v="29256"/>
        <n v="68897"/>
        <n v="72216"/>
        <n v="51841"/>
        <n v="58444"/>
        <n v="36495"/>
        <n v="69581"/>
        <n v="29172"/>
        <n v="29483"/>
        <n v="71682"/>
        <n v="29049"/>
        <n v="79623"/>
        <n v="35432"/>
        <n v="44432"/>
        <n v="55202"/>
        <n v="55023"/>
        <n v="46502"/>
        <n v="66392"/>
        <n v="61654"/>
        <n v="33968"/>
        <n v="48981"/>
        <n v="52361"/>
        <n v="43283"/>
        <n v="56127"/>
        <n v="41078"/>
        <n v="21900"/>
        <n v="34939"/>
        <n v="50095"/>
        <n v="71871"/>
        <n v="38291"/>
        <n v="20896"/>
        <n v="41362"/>
        <n v="30446"/>
        <n v="58812"/>
        <n v="53720"/>
        <n v="25564"/>
        <n v="23058"/>
        <n v="53013"/>
        <n v="22465"/>
        <n v="38725"/>
        <n v="20535"/>
        <n v="39583"/>
        <n v="69829"/>
        <n v="71844"/>
        <n v="35799"/>
        <n v="33356"/>
        <n v="57749"/>
        <n v="22996"/>
        <n v="23253"/>
        <n v="59913"/>
        <n v="34415"/>
        <n v="62786"/>
        <n v="56235"/>
        <n v="36071"/>
        <n v="47717"/>
        <n v="59997"/>
        <n v="39916"/>
        <n v="49305"/>
        <n v="45216"/>
        <n v="22134"/>
        <n v="36228"/>
        <n v="57399"/>
        <n v="64915"/>
        <n v="38333"/>
        <n v="47023"/>
        <n v="52225"/>
        <n v="48813"/>
        <n v="42826"/>
        <n v="34076"/>
        <n v="68199"/>
        <n v="55626"/>
        <n v="55949"/>
        <n v="68867"/>
        <n v="35211"/>
        <n v="21106"/>
        <n v="45470"/>
        <n v="44339"/>
        <n v="66400"/>
        <n v="53689"/>
        <n v="20841"/>
        <n v="78934"/>
        <n v="28662"/>
        <n v="41453"/>
        <n v="31260"/>
        <n v="23490"/>
        <n v="49118"/>
        <n v="25934"/>
        <n v="37214"/>
        <n v="71060"/>
        <n v="34848"/>
        <n v="43045"/>
        <n v="54288"/>
        <n v="35626"/>
        <n v="34120"/>
        <n v="39364"/>
        <n v="51827"/>
        <n v="37992"/>
        <n v="66764"/>
        <n v="24427"/>
        <n v="35876"/>
        <n v="27032"/>
        <n v="40368"/>
        <n v="75868"/>
        <n v="45137"/>
        <n v="49918"/>
        <n v="79541"/>
        <n v="22168"/>
        <n v="23978"/>
        <n v="39834"/>
        <n v="20055"/>
        <n v="33065"/>
        <n v="21457"/>
        <n v="30573"/>
        <n v="39553"/>
        <n v="28787"/>
        <n v="22143"/>
        <n v="20554"/>
        <n v="28686"/>
        <n v="63255"/>
        <n v="46560"/>
        <n v="43712"/>
        <n v="62924"/>
        <n v="35541"/>
        <n v="20693"/>
        <n v="55232"/>
        <n v="56169"/>
        <n v="20954"/>
        <n v="75981"/>
        <n v="48041"/>
        <n v="58924"/>
        <n v="38254"/>
        <n v="35787"/>
        <n v="20083"/>
        <n v="39438"/>
        <n v="61808"/>
        <n v="27639"/>
        <n v="24817"/>
        <n v="37026"/>
        <n v="39277"/>
        <n v="38850"/>
        <n v="60507"/>
        <n v="45555"/>
        <n v="39613"/>
        <n v="74511"/>
        <n v="30802"/>
        <n v="52517"/>
        <n v="41606"/>
        <n v="72233"/>
        <n v="20141"/>
        <n v="37822"/>
        <n v="21408"/>
        <n v="31505"/>
        <n v="23850"/>
        <n v="43836"/>
        <n v="27716"/>
        <n v="49625"/>
        <n v="21366"/>
        <n v="20179"/>
        <n v="22464"/>
        <n v="44211"/>
        <n v="20018"/>
        <n v="23590"/>
        <n v="41698"/>
        <n v="37359"/>
        <n v="24211"/>
        <n v="40887"/>
        <n v="21656"/>
        <n v="32665"/>
        <n v="32577"/>
        <n v="28228"/>
        <n v="25965"/>
        <n v="37182"/>
        <n v="22971"/>
      </sharedItems>
    </cacheField>
    <cacheField name="Sales (Q3)" numFmtId="164">
      <sharedItems containsSemiMixedTypes="0" containsString="0" containsNumber="1" containsInteger="1" minValue="20044" maxValue="99971" count="496">
        <n v="79911"/>
        <n v="66108"/>
        <n v="65655"/>
        <n v="56669"/>
        <n v="71007"/>
        <n v="62658"/>
        <n v="72426"/>
        <n v="78587"/>
        <n v="78353"/>
        <n v="73788"/>
        <n v="70567"/>
        <n v="59047"/>
        <n v="58507"/>
        <n v="63781"/>
        <n v="75265"/>
        <n v="65453"/>
        <n v="72245"/>
        <n v="58038"/>
        <n v="60918"/>
        <n v="60745"/>
        <n v="73183"/>
        <n v="65365"/>
        <n v="67018"/>
        <n v="54744"/>
        <n v="69950"/>
        <n v="75862"/>
        <n v="47253"/>
        <n v="60965"/>
        <n v="79840"/>
        <n v="56216"/>
        <n v="76892"/>
        <n v="73606"/>
        <n v="23631"/>
        <n v="78638"/>
        <n v="37250"/>
        <n v="78925"/>
        <n v="73317"/>
        <n v="66243"/>
        <n v="70857"/>
        <n v="79425"/>
        <n v="61867"/>
        <n v="64617"/>
        <n v="72372"/>
        <n v="76407"/>
        <n v="67710"/>
        <n v="67908"/>
        <n v="60230"/>
        <n v="38354"/>
        <n v="69056"/>
        <n v="39675"/>
        <n v="76536"/>
        <n v="47131"/>
        <n v="39487"/>
        <n v="71840"/>
        <n v="67263"/>
        <n v="79012"/>
        <n v="36994"/>
        <n v="74046"/>
        <n v="35392"/>
        <n v="41701"/>
        <n v="76940"/>
        <n v="23961"/>
        <n v="51042"/>
        <n v="63101"/>
        <n v="77932"/>
        <n v="62541"/>
        <n v="60844"/>
        <n v="70713"/>
        <n v="67126"/>
        <n v="72393"/>
        <n v="60503"/>
        <n v="45455"/>
        <n v="50743"/>
        <n v="79502"/>
        <n v="59002"/>
        <n v="43188"/>
        <n v="52382"/>
        <n v="99971"/>
        <n v="34572"/>
        <n v="69114"/>
        <n v="71586"/>
        <n v="63096"/>
        <n v="70220"/>
        <n v="57210"/>
        <n v="79775"/>
        <n v="75126"/>
        <n v="74399"/>
        <n v="69962"/>
        <n v="71679"/>
        <n v="70616"/>
        <n v="77524"/>
        <n v="70145"/>
        <n v="27807"/>
        <n v="52809"/>
        <n v="78495"/>
        <n v="44984"/>
        <n v="62166"/>
        <n v="70293"/>
        <n v="79663"/>
        <n v="27899"/>
        <n v="56512"/>
        <n v="50333"/>
        <n v="63209"/>
        <n v="76887"/>
        <n v="67942"/>
        <n v="49939"/>
        <n v="42426"/>
        <n v="37912"/>
        <n v="61500"/>
        <n v="51147"/>
        <n v="62418"/>
        <n v="60345"/>
        <n v="40794"/>
        <n v="57462"/>
        <n v="53632"/>
        <n v="64925"/>
        <n v="22848"/>
        <n v="36572"/>
        <n v="63267"/>
        <n v="51695"/>
        <n v="50062"/>
        <n v="25648"/>
        <n v="36902"/>
        <n v="66139"/>
        <n v="43399"/>
        <n v="38471"/>
        <n v="73860"/>
        <n v="50423"/>
        <n v="29800"/>
        <n v="59673"/>
        <n v="74729"/>
        <n v="66984"/>
        <n v="74174"/>
        <n v="65178"/>
        <n v="63705"/>
        <n v="76337"/>
        <n v="41753"/>
        <n v="46143"/>
        <n v="76951"/>
        <n v="44916"/>
        <n v="61173"/>
        <n v="66921"/>
        <n v="45672"/>
        <n v="42654"/>
        <n v="36164"/>
        <n v="21220"/>
        <n v="63265"/>
        <n v="62590"/>
        <n v="61198"/>
        <n v="43587"/>
        <n v="60267"/>
        <n v="77623"/>
        <n v="67701"/>
        <n v="70097"/>
        <n v="75852"/>
        <n v="65397"/>
        <n v="56727"/>
        <n v="51495"/>
        <n v="40025"/>
        <n v="35783"/>
        <n v="62698"/>
        <n v="73892"/>
        <n v="41770"/>
        <n v="66649"/>
        <n v="78414"/>
        <n v="61394"/>
        <n v="49602"/>
        <n v="39749"/>
        <n v="60106"/>
        <n v="47788"/>
        <n v="44085"/>
        <n v="20922"/>
        <n v="60423"/>
        <n v="49849"/>
        <n v="28749"/>
        <n v="31748"/>
        <n v="50377"/>
        <n v="31941"/>
        <n v="41826"/>
        <n v="49994"/>
        <n v="43940"/>
        <n v="50593"/>
        <n v="20805"/>
        <n v="37978"/>
        <n v="58275"/>
        <n v="22450"/>
        <n v="68042"/>
        <n v="45204"/>
        <n v="61037"/>
        <n v="48020"/>
        <n v="37993"/>
        <n v="78961"/>
        <n v="74529"/>
        <n v="78704"/>
        <n v="70663"/>
        <n v="66873"/>
        <n v="23854"/>
        <n v="31708"/>
        <n v="69139"/>
        <n v="75209"/>
        <n v="33541"/>
        <n v="71413"/>
        <n v="65849"/>
        <n v="60369"/>
        <n v="26027"/>
        <n v="31029"/>
        <n v="44502"/>
        <n v="27168"/>
        <n v="79206"/>
        <n v="47081"/>
        <n v="64426"/>
        <n v="63301"/>
        <n v="66936"/>
        <n v="40463"/>
        <n v="37645"/>
        <n v="41508"/>
        <n v="53043"/>
        <n v="58530"/>
        <n v="52035"/>
        <n v="25976"/>
        <n v="54928"/>
        <n v="44311"/>
        <n v="43219"/>
        <n v="35708"/>
        <n v="31022"/>
        <n v="76822"/>
        <n v="29710"/>
        <n v="20829"/>
        <n v="58646"/>
        <n v="43544"/>
        <n v="47534"/>
        <n v="49029"/>
        <n v="41437"/>
        <n v="47284"/>
        <n v="72023"/>
        <n v="66817"/>
        <n v="44315"/>
        <n v="38176"/>
        <n v="77073"/>
        <n v="68918"/>
        <n v="65566"/>
        <n v="46941"/>
        <n v="22561"/>
        <n v="65522"/>
        <n v="69703"/>
        <n v="61753"/>
        <n v="52421"/>
        <n v="21381"/>
        <n v="63077"/>
        <n v="33931"/>
        <n v="32280"/>
        <n v="55483"/>
        <n v="64606"/>
        <n v="57182"/>
        <n v="41427"/>
        <n v="20637"/>
        <n v="57294"/>
        <n v="37691"/>
        <n v="36931"/>
        <n v="62478"/>
        <n v="30603"/>
        <n v="51607"/>
        <n v="56249"/>
        <n v="42056"/>
        <n v="33447"/>
        <n v="27722"/>
        <n v="27715"/>
        <n v="57771"/>
        <n v="62995"/>
        <n v="56022"/>
        <n v="51754"/>
        <n v="30187"/>
        <n v="36426"/>
        <n v="23625"/>
        <n v="39798"/>
        <n v="48173"/>
        <n v="58705"/>
        <n v="32562"/>
        <n v="21219"/>
        <n v="29658"/>
        <n v="30182"/>
        <n v="49207"/>
        <n v="42618"/>
        <n v="59996"/>
        <n v="21739"/>
        <n v="57670"/>
        <n v="43709"/>
        <n v="38436"/>
        <n v="33085"/>
        <n v="64397"/>
        <n v="28096"/>
        <n v="69850"/>
        <n v="43067"/>
        <n v="49803"/>
        <n v="36587"/>
        <n v="64356"/>
        <n v="38021"/>
        <n v="57689"/>
        <n v="75541"/>
        <n v="76473"/>
        <n v="51210"/>
        <n v="45176"/>
        <n v="32787"/>
        <n v="59855"/>
        <n v="31669"/>
        <n v="66316"/>
        <n v="49415"/>
        <n v="37156"/>
        <n v="35515"/>
        <n v="44155"/>
        <n v="66682"/>
        <n v="39977"/>
        <n v="67044"/>
        <n v="57900"/>
        <n v="33900"/>
        <n v="76080"/>
        <n v="73460"/>
        <n v="62562"/>
        <n v="28401"/>
        <n v="30718"/>
        <n v="30317"/>
        <n v="39504"/>
        <n v="57735"/>
        <n v="69646"/>
        <n v="54765"/>
        <n v="20473"/>
        <n v="49533"/>
        <n v="66182"/>
        <n v="36160"/>
        <n v="62661"/>
        <n v="67206"/>
        <n v="73487"/>
        <n v="48889"/>
        <n v="53992"/>
        <n v="45754"/>
        <n v="60480"/>
        <n v="27825"/>
        <n v="55882"/>
        <n v="58013"/>
        <n v="65336"/>
        <n v="28992"/>
        <n v="33199"/>
        <n v="35664"/>
        <n v="38229"/>
        <n v="48688"/>
        <n v="34636"/>
        <n v="29479"/>
        <n v="42389"/>
        <n v="50850"/>
        <n v="28807"/>
        <n v="66980"/>
        <n v="30418"/>
        <n v="56477"/>
        <n v="56192"/>
        <n v="47463"/>
        <n v="26796"/>
        <n v="55758"/>
        <n v="62170"/>
        <n v="58061"/>
        <n v="70468"/>
        <n v="52298"/>
        <n v="59077"/>
        <n v="35367"/>
        <n v="75520"/>
        <n v="33023"/>
        <n v="42516"/>
        <n v="29163"/>
        <n v="52740"/>
        <n v="55810"/>
        <n v="25871"/>
        <n v="39542"/>
        <n v="30676"/>
        <n v="22474"/>
        <n v="32050"/>
        <n v="61965"/>
        <n v="31641"/>
        <n v="50962"/>
        <n v="38162"/>
        <n v="62599"/>
        <n v="25107"/>
        <n v="32823"/>
        <n v="45009"/>
        <n v="52930"/>
        <n v="26896"/>
        <n v="47300"/>
        <n v="44498"/>
        <n v="22144"/>
        <n v="22348"/>
        <n v="20103"/>
        <n v="64140"/>
        <n v="51205"/>
        <n v="33486"/>
        <n v="29279"/>
        <n v="42784"/>
        <n v="49153"/>
        <n v="24165"/>
        <n v="53268"/>
        <n v="45526"/>
        <n v="63278"/>
        <n v="70514"/>
        <n v="55005"/>
        <n v="26709"/>
        <n v="76469"/>
        <n v="25294"/>
        <n v="51306"/>
        <n v="33871"/>
        <n v="41415"/>
        <n v="45982"/>
        <n v="44920"/>
        <n v="46003"/>
        <n v="39671"/>
        <n v="31018"/>
        <n v="40147"/>
        <n v="26789"/>
        <n v="63181"/>
        <n v="47513"/>
        <n v="73334"/>
        <n v="57259"/>
        <n v="21902"/>
        <n v="48801"/>
        <n v="33313"/>
        <n v="77044"/>
        <n v="33488"/>
        <n v="41957"/>
        <n v="24118"/>
        <n v="27858"/>
        <n v="35435"/>
        <n v="20044"/>
        <n v="36581"/>
        <n v="42468"/>
        <n v="54623"/>
        <n v="25743"/>
        <n v="66095"/>
        <n v="44439"/>
        <n v="74999"/>
        <n v="40743"/>
        <n v="64046"/>
        <n v="47073"/>
        <n v="39437"/>
        <n v="34664"/>
        <n v="60356"/>
        <n v="32656"/>
        <n v="44855"/>
        <n v="21194"/>
        <n v="40593"/>
        <n v="37655"/>
        <n v="64092"/>
        <n v="38918"/>
        <n v="30494"/>
        <n v="42093"/>
        <n v="21513"/>
        <n v="27917"/>
        <n v="22200"/>
        <n v="50318"/>
        <n v="41685"/>
        <n v="23155"/>
        <n v="33239"/>
        <n v="35259"/>
        <n v="73663"/>
        <n v="25376"/>
        <n v="30205"/>
        <n v="28136"/>
        <n v="66801"/>
        <n v="30176"/>
        <n v="26471"/>
        <n v="30646"/>
        <n v="25594"/>
        <n v="36565"/>
        <n v="29217"/>
        <n v="26193"/>
        <n v="22888"/>
        <n v="45586"/>
        <n v="35309"/>
        <n v="22605"/>
        <n v="52141"/>
        <n v="23415"/>
        <n v="33047"/>
        <n v="44344"/>
        <n v="37925"/>
        <n v="41284"/>
        <n v="20835"/>
        <n v="23728"/>
        <n v="35336"/>
        <n v="30318"/>
        <n v="20503"/>
        <n v="33470"/>
        <n v="29150"/>
        <n v="42423"/>
        <n v="37113"/>
        <n v="44960"/>
        <n v="34829"/>
        <n v="21815"/>
        <n v="26013"/>
        <n v="27513"/>
        <n v="34138"/>
        <n v="22438"/>
      </sharedItems>
    </cacheField>
    <cacheField name="Sales (Q4)" numFmtId="164">
      <sharedItems containsSemiMixedTypes="0" containsString="0" containsNumber="1" containsInteger="1" minValue="20056" maxValue="79634" count="499">
        <n v="72910"/>
        <n v="70452"/>
        <n v="73824"/>
        <n v="79323"/>
        <n v="68802"/>
        <n v="77521"/>
        <n v="79634"/>
        <n v="74752"/>
        <n v="73402"/>
        <n v="62730"/>
        <n v="66360"/>
        <n v="77221"/>
        <n v="67468"/>
        <n v="72835"/>
        <n v="75009"/>
        <n v="78300"/>
        <n v="54459"/>
        <n v="70797"/>
        <n v="71664"/>
        <n v="60211"/>
        <n v="54267"/>
        <n v="79204"/>
        <n v="68691"/>
        <n v="75175"/>
        <n v="65230"/>
        <n v="53826"/>
        <n v="76370"/>
        <n v="59335"/>
        <n v="69255"/>
        <n v="69651"/>
        <n v="65369"/>
        <n v="71106"/>
        <n v="74486"/>
        <n v="75119"/>
        <n v="60169"/>
        <n v="74878"/>
        <n v="69840"/>
        <n v="74979"/>
        <n v="60645"/>
        <n v="44739"/>
        <n v="78466"/>
        <n v="65459"/>
        <n v="59518"/>
        <n v="22614"/>
        <n v="78833"/>
        <n v="58828"/>
        <n v="59033"/>
        <n v="77203"/>
        <n v="71367"/>
        <n v="59005"/>
        <n v="29836"/>
        <n v="69575"/>
        <n v="76371"/>
        <n v="62015"/>
        <n v="60615"/>
        <n v="53870"/>
        <n v="77122"/>
        <n v="51578"/>
        <n v="64092"/>
        <n v="75837"/>
        <n v="71178"/>
        <n v="60490"/>
        <n v="42368"/>
        <n v="64453"/>
        <n v="50007"/>
        <n v="55287"/>
        <n v="64590"/>
        <n v="65735"/>
        <n v="55680"/>
        <n v="52662"/>
        <n v="28588"/>
        <n v="43252"/>
        <n v="49399"/>
        <n v="70379"/>
        <n v="57699"/>
        <n v="75328"/>
        <n v="50405"/>
        <n v="23252"/>
        <n v="64978"/>
        <n v="39927"/>
        <n v="24936"/>
        <n v="63561"/>
        <n v="38373"/>
        <n v="64197"/>
        <n v="43329"/>
        <n v="41805"/>
        <n v="62839"/>
        <n v="36268"/>
        <n v="62247"/>
        <n v="64535"/>
        <n v="71371"/>
        <n v="61330"/>
        <n v="45141"/>
        <n v="71170"/>
        <n v="74531"/>
        <n v="42971"/>
        <n v="40167"/>
        <n v="60616"/>
        <n v="65088"/>
        <n v="77002"/>
        <n v="67325"/>
        <n v="49186"/>
        <n v="33638"/>
        <n v="64271"/>
        <n v="68124"/>
        <n v="75397"/>
        <n v="55686"/>
        <n v="47165"/>
        <n v="48219"/>
        <n v="47990"/>
        <n v="74615"/>
        <n v="34455"/>
        <n v="69496"/>
        <n v="46527"/>
        <n v="76575"/>
        <n v="73350"/>
        <n v="77920"/>
        <n v="65340"/>
        <n v="54160"/>
        <n v="70460"/>
        <n v="66042"/>
        <n v="63716"/>
        <n v="61156"/>
        <n v="49246"/>
        <n v="64363"/>
        <n v="73890"/>
        <n v="66979"/>
        <n v="53103"/>
        <n v="50997"/>
        <n v="41580"/>
        <n v="54149"/>
        <n v="67111"/>
        <n v="29321"/>
        <n v="58916"/>
        <n v="29639"/>
        <n v="41654"/>
        <n v="37905"/>
        <n v="25845"/>
        <n v="54775"/>
        <n v="57808"/>
        <n v="58340"/>
        <n v="26793"/>
        <n v="75954"/>
        <n v="23337"/>
        <n v="67745"/>
        <n v="36241"/>
        <n v="77573"/>
        <n v="62039"/>
        <n v="44472"/>
        <n v="56539"/>
        <n v="22877"/>
        <n v="43190"/>
        <n v="54962"/>
        <n v="36009"/>
        <n v="41313"/>
        <n v="50519"/>
        <n v="39042"/>
        <n v="46049"/>
        <n v="72824"/>
        <n v="77286"/>
        <n v="68352"/>
        <n v="52615"/>
        <n v="32616"/>
        <n v="31826"/>
        <n v="71274"/>
        <n v="55082"/>
        <n v="39657"/>
        <n v="22044"/>
        <n v="25927"/>
        <n v="74549"/>
        <n v="60432"/>
        <n v="51828"/>
        <n v="72724"/>
        <n v="78458"/>
        <n v="72766"/>
        <n v="64634"/>
        <n v="37083"/>
        <n v="27013"/>
        <n v="64331"/>
        <n v="75240"/>
        <n v="72688"/>
        <n v="22423"/>
        <n v="58514"/>
        <n v="52686"/>
        <n v="36026"/>
        <n v="32573"/>
        <n v="57954"/>
        <n v="70973"/>
        <n v="26091"/>
        <n v="75268"/>
        <n v="48301"/>
        <n v="46533"/>
        <n v="61908"/>
        <n v="23720"/>
        <n v="44081"/>
        <n v="73129"/>
        <n v="38965"/>
        <n v="47730"/>
        <n v="73097"/>
        <n v="53271"/>
        <n v="38233"/>
        <n v="44517"/>
        <n v="73315"/>
        <n v="39917"/>
        <n v="63593"/>
        <n v="21908"/>
        <n v="79315"/>
        <n v="69147"/>
        <n v="54437"/>
        <n v="57280"/>
        <n v="21897"/>
        <n v="56182"/>
        <n v="51026"/>
        <n v="22019"/>
        <n v="40590"/>
        <n v="54166"/>
        <n v="46924"/>
        <n v="46764"/>
        <n v="58522"/>
        <n v="28823"/>
        <n v="58186"/>
        <n v="25959"/>
        <n v="66117"/>
        <n v="67149"/>
        <n v="44380"/>
        <n v="47759"/>
        <n v="78034"/>
        <n v="71250"/>
        <n v="62984"/>
        <n v="51063"/>
        <n v="75677"/>
        <n v="53071"/>
        <n v="40212"/>
        <n v="45524"/>
        <n v="36198"/>
        <n v="63928"/>
        <n v="46755"/>
        <n v="29161"/>
        <n v="39043"/>
        <n v="78031"/>
        <n v="57296"/>
        <n v="33460"/>
        <n v="64912"/>
        <n v="33163"/>
        <n v="39761"/>
        <n v="68319"/>
        <n v="76322"/>
        <n v="38424"/>
        <n v="37167"/>
        <n v="37598"/>
        <n v="62296"/>
        <n v="44659"/>
        <n v="32165"/>
        <n v="59006"/>
        <n v="28652"/>
        <n v="27994"/>
        <n v="25161"/>
        <n v="30009"/>
        <n v="65928"/>
        <n v="34249"/>
        <n v="61943"/>
        <n v="42304"/>
        <n v="56620"/>
        <n v="26571"/>
        <n v="44326"/>
        <n v="46678"/>
        <n v="44299"/>
        <n v="67485"/>
        <n v="54063"/>
        <n v="38527"/>
        <n v="24675"/>
        <n v="65064"/>
        <n v="24793"/>
        <n v="46225"/>
        <n v="37848"/>
        <n v="72331"/>
        <n v="76333"/>
        <n v="51650"/>
        <n v="71495"/>
        <n v="24511"/>
        <n v="54901"/>
        <n v="61146"/>
        <n v="70331"/>
        <n v="55152"/>
        <n v="35751"/>
        <n v="41786"/>
        <n v="45731"/>
        <n v="56781"/>
        <n v="45146"/>
        <n v="60804"/>
        <n v="22980"/>
        <n v="35391"/>
        <n v="28994"/>
        <n v="25976"/>
        <n v="44283"/>
        <n v="75411"/>
        <n v="46473"/>
        <n v="20800"/>
        <n v="54488"/>
        <n v="38340"/>
        <n v="40336"/>
        <n v="42541"/>
        <n v="51308"/>
        <n v="39750"/>
        <n v="63301"/>
        <n v="73425"/>
        <n v="62029"/>
        <n v="45384"/>
        <n v="62713"/>
        <n v="56502"/>
        <n v="65957"/>
        <n v="24778"/>
        <n v="64094"/>
        <n v="57791"/>
        <n v="30603"/>
        <n v="24644"/>
        <n v="24786"/>
        <n v="62054"/>
        <n v="40637"/>
        <n v="21090"/>
        <n v="24648"/>
        <n v="74849"/>
        <n v="66265"/>
        <n v="23727"/>
        <n v="70539"/>
        <n v="64390"/>
        <n v="47207"/>
        <n v="34098"/>
        <n v="55927"/>
        <n v="41518"/>
        <n v="29283"/>
        <n v="67244"/>
        <n v="28175"/>
        <n v="55818"/>
        <n v="39452"/>
        <n v="22186"/>
        <n v="33588"/>
        <n v="36746"/>
        <n v="49555"/>
        <n v="52901"/>
        <n v="25578"/>
        <n v="43044"/>
        <n v="35945"/>
        <n v="65973"/>
        <n v="37816"/>
        <n v="51506"/>
        <n v="31894"/>
        <n v="25271"/>
        <n v="68772"/>
        <n v="45138"/>
        <n v="33803"/>
        <n v="79198"/>
        <n v="39692"/>
        <n v="41739"/>
        <n v="24300"/>
        <n v="37317"/>
        <n v="46738"/>
        <n v="33025"/>
        <n v="47264"/>
        <n v="31791"/>
        <n v="38403"/>
        <n v="26263"/>
        <n v="42228"/>
        <n v="31796"/>
        <n v="37807"/>
        <n v="27044"/>
        <n v="43620"/>
        <n v="34408"/>
        <n v="36238"/>
        <n v="61817"/>
        <n v="54292"/>
        <n v="27374"/>
        <n v="39059"/>
        <n v="75956"/>
        <n v="67480"/>
        <n v="54118"/>
        <n v="20056"/>
        <n v="22101"/>
        <n v="61331"/>
        <n v="23569"/>
        <n v="30755"/>
        <n v="34149"/>
        <n v="33478"/>
        <n v="59052"/>
        <n v="42759"/>
        <n v="41485"/>
        <n v="32275"/>
        <n v="30223"/>
        <n v="65238"/>
        <n v="56512"/>
        <n v="26348"/>
        <n v="27033"/>
        <n v="26397"/>
        <n v="38241"/>
        <n v="52040"/>
        <n v="41212"/>
        <n v="28854"/>
        <n v="51211"/>
        <n v="34398"/>
        <n v="64125"/>
        <n v="37780"/>
        <n v="25864"/>
        <n v="28295"/>
        <n v="33538"/>
        <n v="52813"/>
        <n v="41109"/>
        <n v="24641"/>
        <n v="49799"/>
        <n v="76341"/>
        <n v="52899"/>
        <n v="28099"/>
        <n v="43846"/>
        <n v="61979"/>
        <n v="25005"/>
        <n v="28214"/>
        <n v="57874"/>
        <n v="24369"/>
        <n v="61874"/>
        <n v="36665"/>
        <n v="23127"/>
        <n v="45484"/>
        <n v="46763"/>
        <n v="32487"/>
        <n v="22928"/>
        <n v="55344"/>
        <n v="38649"/>
        <n v="61025"/>
        <n v="25925"/>
        <n v="49277"/>
        <n v="48036"/>
        <n v="22836"/>
        <n v="25531"/>
        <n v="21246"/>
        <n v="28197"/>
        <n v="56702"/>
        <n v="49388"/>
        <n v="21335"/>
        <n v="44755"/>
        <n v="38637"/>
        <n v="23543"/>
        <n v="35915"/>
        <n v="47911"/>
        <n v="36540"/>
        <n v="38413"/>
        <n v="46113"/>
        <n v="44718"/>
        <n v="43763"/>
        <n v="20810"/>
        <n v="50890"/>
        <n v="20555"/>
        <n v="31023"/>
        <n v="41691"/>
        <n v="73774"/>
        <n v="28194"/>
        <n v="35231"/>
        <n v="49257"/>
        <n v="36371"/>
        <n v="38229"/>
        <n v="45292"/>
        <n v="29939"/>
        <n v="23440"/>
        <n v="28600"/>
        <n v="37561"/>
        <n v="39894"/>
        <n v="55039"/>
        <n v="25179"/>
        <n v="25525"/>
        <n v="40974"/>
        <n v="56959"/>
        <n v="26109"/>
        <n v="33590"/>
        <n v="41703"/>
        <n v="56566"/>
        <n v="23964"/>
        <n v="37380"/>
        <n v="24894"/>
        <n v="36213"/>
        <n v="22487"/>
        <n v="41814"/>
        <n v="42192"/>
        <n v="39983"/>
        <n v="33722"/>
        <n v="31263"/>
        <n v="64016"/>
        <n v="44165"/>
        <n v="22805"/>
        <n v="25691"/>
        <n v="33397"/>
        <n v="32450"/>
        <n v="36162"/>
        <n v="21944"/>
        <n v="26863"/>
        <n v="29524"/>
        <n v="22112"/>
        <n v="36094"/>
        <n v="31382"/>
        <n v="26509"/>
        <n v="22610"/>
        <n v="39946"/>
      </sharedItems>
    </cacheField>
    <cacheField name="Employee Total Sales" numFmtId="164">
      <sharedItems containsSemiMixedTypes="0" containsString="0" containsNumber="1" containsInteger="1" minValue="114515" maxValue="300162" count="500">
        <n v="300162"/>
        <n v="293404"/>
        <n v="284842"/>
        <n v="282551"/>
        <n v="281446"/>
        <n v="278974"/>
        <n v="276020"/>
        <n v="275307"/>
        <n v="274712"/>
        <n v="271943"/>
        <n v="270398"/>
        <n v="270316"/>
        <n v="268626"/>
        <n v="267846"/>
        <n v="267204"/>
        <n v="266927"/>
        <n v="266796"/>
        <n v="266693"/>
        <n v="266429"/>
        <n v="264886"/>
        <n v="263871"/>
        <n v="262971"/>
        <n v="260064"/>
        <n v="259225"/>
        <n v="258983"/>
        <n v="258607"/>
        <n v="258531"/>
        <n v="257680"/>
        <n v="256368"/>
        <n v="255845"/>
        <n v="255181"/>
        <n v="255076"/>
        <n v="254700"/>
        <n v="254467"/>
        <n v="254054"/>
        <n v="253733"/>
        <n v="252824"/>
        <n v="251671"/>
        <n v="251515"/>
        <n v="250550"/>
        <n v="250497"/>
        <n v="250481"/>
        <n v="250403"/>
        <n v="250110"/>
        <n v="250077"/>
        <n v="249396"/>
        <n v="249320"/>
        <n v="248950"/>
        <n v="248404"/>
        <n v="247817"/>
        <n v="246695"/>
        <n v="245154"/>
        <n v="244411"/>
        <n v="244210"/>
        <n v="243457"/>
        <n v="243222"/>
        <n v="242660"/>
        <n v="242367"/>
        <n v="242346"/>
        <n v="242222"/>
        <n v="242096"/>
        <n v="178794"/>
        <n v="241148"/>
        <n v="239912"/>
        <n v="238733"/>
        <n v="238158"/>
        <n v="237852"/>
        <n v="237809"/>
        <n v="237287"/>
        <n v="236967"/>
        <n v="236746"/>
        <n v="236440"/>
        <n v="236111"/>
        <n v="236087"/>
        <n v="235242"/>
        <n v="235108"/>
        <n v="234589"/>
        <n v="234507"/>
        <n v="233916"/>
        <n v="233757"/>
        <n v="233696"/>
        <n v="233319"/>
        <n v="232880"/>
        <n v="232564"/>
        <n v="232294"/>
        <n v="232290"/>
        <n v="232182"/>
        <n v="231525"/>
        <n v="231275"/>
        <n v="231131"/>
        <n v="230762"/>
        <n v="230687"/>
        <n v="230588"/>
        <n v="230543"/>
        <n v="230354"/>
        <n v="230074"/>
        <n v="229710"/>
        <n v="229375"/>
        <n v="229149"/>
        <n v="229072"/>
        <n v="228914"/>
        <n v="228506"/>
        <n v="228386"/>
        <n v="228251"/>
        <n v="227053"/>
        <n v="226966"/>
        <n v="226882"/>
        <n v="226867"/>
        <n v="226823"/>
        <n v="226446"/>
        <n v="226318"/>
        <n v="226166"/>
        <n v="225942"/>
        <n v="225488"/>
        <n v="224857"/>
        <n v="224608"/>
        <n v="224409"/>
        <n v="224265"/>
        <n v="224241"/>
        <n v="223774"/>
        <n v="223766"/>
        <n v="223732"/>
        <n v="223543"/>
        <n v="223231"/>
        <n v="222585"/>
        <n v="222454"/>
        <n v="222314"/>
        <n v="221635"/>
        <n v="221629"/>
        <n v="221345"/>
        <n v="221215"/>
        <n v="220457"/>
        <n v="220436"/>
        <n v="220390"/>
        <n v="220367"/>
        <n v="219386"/>
        <n v="219372"/>
        <n v="219230"/>
        <n v="219226"/>
        <n v="219184"/>
        <n v="219151"/>
        <n v="219063"/>
        <n v="218624"/>
        <n v="218013"/>
        <n v="217974"/>
        <n v="217837"/>
        <n v="217516"/>
        <n v="217488"/>
        <n v="217229"/>
        <n v="216579"/>
        <n v="216448"/>
        <n v="216158"/>
        <n v="216035"/>
        <n v="215868"/>
        <n v="215553"/>
        <n v="215291"/>
        <n v="214766"/>
        <n v="214478"/>
        <n v="214340"/>
        <n v="214220"/>
        <n v="214050"/>
        <n v="213780"/>
        <n v="213610"/>
        <n v="213420"/>
        <n v="213069"/>
        <n v="212810"/>
        <n v="212631"/>
        <n v="212354"/>
        <n v="212258"/>
        <n v="212225"/>
        <n v="212221"/>
        <n v="212035"/>
        <n v="211954"/>
        <n v="211715"/>
        <n v="211571"/>
        <n v="211286"/>
        <n v="211258"/>
        <n v="211216"/>
        <n v="210746"/>
        <n v="210470"/>
        <n v="210259"/>
        <n v="210211"/>
        <n v="210099"/>
        <n v="209666"/>
        <n v="209658"/>
        <n v="209585"/>
        <n v="209580"/>
        <n v="209389"/>
        <n v="209287"/>
        <n v="209207"/>
        <n v="209120"/>
        <n v="208894"/>
        <n v="208699"/>
        <n v="208595"/>
        <n v="208523"/>
        <n v="208106"/>
        <n v="207899"/>
        <n v="207870"/>
        <n v="207784"/>
        <n v="207720"/>
        <n v="207564"/>
        <n v="207473"/>
        <n v="207415"/>
        <n v="207388"/>
        <n v="207153"/>
        <n v="207035"/>
        <n v="206820"/>
        <n v="206734"/>
        <n v="206723"/>
        <n v="206463"/>
        <n v="206210"/>
        <n v="206089"/>
        <n v="205248"/>
        <n v="205092"/>
        <n v="204803"/>
        <n v="204322"/>
        <n v="204120"/>
        <n v="203972"/>
        <n v="203684"/>
        <n v="203639"/>
        <n v="203560"/>
        <n v="203194"/>
        <n v="203180"/>
        <n v="203046"/>
        <n v="202680"/>
        <n v="202414"/>
        <n v="202389"/>
        <n v="202154"/>
        <n v="201865"/>
        <n v="201588"/>
        <n v="201305"/>
        <n v="201261"/>
        <n v="201243"/>
        <n v="201197"/>
        <n v="200988"/>
        <n v="200780"/>
        <n v="200560"/>
        <n v="200546"/>
        <n v="200508"/>
        <n v="199858"/>
        <n v="199752"/>
        <n v="199552"/>
        <n v="199444"/>
        <n v="199276"/>
        <n v="199054"/>
        <n v="198960"/>
        <n v="198657"/>
        <n v="198125"/>
        <n v="198029"/>
        <n v="197959"/>
        <n v="197702"/>
        <n v="197568"/>
        <n v="196630"/>
        <n v="196510"/>
        <n v="196154"/>
        <n v="195880"/>
        <n v="195669"/>
        <n v="195570"/>
        <n v="195518"/>
        <n v="195131"/>
        <n v="194795"/>
        <n v="194774"/>
        <n v="194598"/>
        <n v="194325"/>
        <n v="194277"/>
        <n v="194251"/>
        <n v="194107"/>
        <n v="193978"/>
        <n v="193908"/>
        <n v="193828"/>
        <n v="193820"/>
        <n v="193719"/>
        <n v="193293"/>
        <n v="193049"/>
        <n v="192946"/>
        <n v="192679"/>
        <n v="192526"/>
        <n v="192499"/>
        <n v="192245"/>
        <n v="192028"/>
        <n v="191985"/>
        <n v="191930"/>
        <n v="191782"/>
        <n v="191607"/>
        <n v="191472"/>
        <n v="191441"/>
        <n v="191103"/>
        <n v="191091"/>
        <n v="190938"/>
        <n v="190782"/>
        <n v="189955"/>
        <n v="189485"/>
        <n v="189255"/>
        <n v="189206"/>
        <n v="188832"/>
        <n v="188765"/>
        <n v="188762"/>
        <n v="188347"/>
        <n v="188162"/>
        <n v="188152"/>
        <n v="187994"/>
        <n v="187946"/>
        <n v="187694"/>
        <n v="187501"/>
        <n v="187392"/>
        <n v="186918"/>
        <n v="186878"/>
        <n v="186810"/>
        <n v="186628"/>
        <n v="186441"/>
        <n v="186411"/>
        <n v="186392"/>
        <n v="186152"/>
        <n v="185890"/>
        <n v="185868"/>
        <n v="185864"/>
        <n v="185843"/>
        <n v="185396"/>
        <n v="185336"/>
        <n v="185319"/>
        <n v="185013"/>
        <n v="184902"/>
        <n v="184855"/>
        <n v="184734"/>
        <n v="184341"/>
        <n v="184251"/>
        <n v="184058"/>
        <n v="183773"/>
        <n v="183768"/>
        <n v="183718"/>
        <n v="183589"/>
        <n v="183565"/>
        <n v="183545"/>
        <n v="183288"/>
        <n v="183126"/>
        <n v="183003"/>
        <n v="182882"/>
        <n v="182638"/>
        <n v="182624"/>
        <n v="182614"/>
        <n v="182488"/>
        <n v="182360"/>
        <n v="182305"/>
        <n v="182187"/>
        <n v="182046"/>
        <n v="182027"/>
        <n v="181801"/>
        <n v="181708"/>
        <n v="181256"/>
        <n v="180679"/>
        <n v="180672"/>
        <n v="180472"/>
        <n v="180382"/>
        <n v="180370"/>
        <n v="180357"/>
        <n v="180167"/>
        <n v="179925"/>
        <n v="179845"/>
        <n v="179841"/>
        <n v="179455"/>
        <n v="179345"/>
        <n v="178902"/>
        <n v="241468"/>
        <n v="178671"/>
        <n v="178667"/>
        <n v="178661"/>
        <n v="178271"/>
        <n v="178072"/>
        <n v="177972"/>
        <n v="177856"/>
        <n v="177744"/>
        <n v="177343"/>
        <n v="175868"/>
        <n v="175588"/>
        <n v="175218"/>
        <n v="175112"/>
        <n v="175015"/>
        <n v="174562"/>
        <n v="174206"/>
        <n v="174160"/>
        <n v="174027"/>
        <n v="173906"/>
        <n v="173858"/>
        <n v="173481"/>
        <n v="173440"/>
        <n v="173262"/>
        <n v="172942"/>
        <n v="172739"/>
        <n v="172722"/>
        <n v="172461"/>
        <n v="172322"/>
        <n v="172178"/>
        <n v="172118"/>
        <n v="172077"/>
        <n v="171988"/>
        <n v="171934"/>
        <n v="171852"/>
        <n v="171808"/>
        <n v="171691"/>
        <n v="171589"/>
        <n v="171492"/>
        <n v="170892"/>
        <n v="170874"/>
        <n v="170627"/>
        <n v="170611"/>
        <n v="170396"/>
        <n v="170153"/>
        <n v="170093"/>
        <n v="169967"/>
        <n v="169739"/>
        <n v="169561"/>
        <n v="169450"/>
        <n v="169233"/>
        <n v="168958"/>
        <n v="168910"/>
        <n v="168300"/>
        <n v="168184"/>
        <n v="168146"/>
        <n v="168142"/>
        <n v="168053"/>
        <n v="167781"/>
        <n v="167775"/>
        <n v="167587"/>
        <n v="167275"/>
        <n v="167248"/>
        <n v="167169"/>
        <n v="167141"/>
        <n v="167087"/>
        <n v="167018"/>
        <n v="166939"/>
        <n v="166918"/>
        <n v="166751"/>
        <n v="166659"/>
        <n v="166658"/>
        <n v="166506"/>
        <n v="166333"/>
        <n v="166056"/>
        <n v="165604"/>
        <n v="165489"/>
        <n v="164937"/>
        <n v="164892"/>
        <n v="164890"/>
        <n v="164285"/>
        <n v="164243"/>
        <n v="163973"/>
        <n v="163574"/>
        <n v="162260"/>
        <n v="161993"/>
        <n v="161472"/>
        <n v="161312"/>
        <n v="161228"/>
        <n v="159908"/>
        <n v="159786"/>
        <n v="158652"/>
        <n v="157739"/>
        <n v="157079"/>
        <n v="156993"/>
        <n v="156968"/>
        <n v="156714"/>
        <n v="155743"/>
        <n v="155300"/>
        <n v="155296"/>
        <n v="154908"/>
        <n v="154488"/>
        <n v="154139"/>
        <n v="154067"/>
        <n v="153586"/>
        <n v="153408"/>
        <n v="152531"/>
        <n v="152260"/>
        <n v="152192"/>
        <n v="150509"/>
        <n v="150259"/>
        <n v="148684"/>
        <n v="148107"/>
        <n v="147943"/>
        <n v="147696"/>
        <n v="146918"/>
        <n v="146387"/>
        <n v="145582"/>
        <n v="143315"/>
        <n v="142089"/>
        <n v="141580"/>
        <n v="140457"/>
        <n v="140398"/>
        <n v="139973"/>
        <n v="139676"/>
        <n v="138954"/>
        <n v="136767"/>
        <n v="134254"/>
        <n v="132034"/>
        <n v="126715"/>
        <n v="126178"/>
        <n v="123117"/>
        <n v="120339"/>
        <n v="120313"/>
        <n v="119006"/>
        <n v="116841"/>
        <n v="114833"/>
        <n v="114515"/>
      </sharedItems>
    </cacheField>
    <cacheField name="Sales Performance" numFmtId="164">
      <sharedItems/>
    </cacheField>
    <cacheField name="Performance Rating" numFmtId="164">
      <sharedItems/>
    </cacheField>
  </cacheFields>
  <extLst>
    <ext xmlns:x14="http://schemas.microsoft.com/office/spreadsheetml/2009/9/main" uri="{725AE2AE-9491-48be-B2B4-4EB974FC3084}">
      <x14:pivotCacheDefinition pivotCacheId="640894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90"/>
    <x v="0"/>
    <x v="0"/>
    <x v="0"/>
    <s v="davidwright@company.com"/>
    <s v="555-143-7936"/>
    <x v="0"/>
    <x v="0"/>
    <x v="0"/>
    <x v="0"/>
    <x v="0"/>
    <s v="High Performer"/>
    <s v="Eligible for Promotion"/>
  </r>
  <r>
    <n v="215"/>
    <x v="1"/>
    <x v="1"/>
    <x v="1"/>
    <s v="michael_garcia@company.com"/>
    <s v="598-094-5846"/>
    <x v="1"/>
    <x v="1"/>
    <x v="1"/>
    <x v="1"/>
    <x v="1"/>
    <s v="High Performer"/>
    <s v="Eligible for Promotion"/>
  </r>
  <r>
    <n v="449"/>
    <x v="2"/>
    <x v="1"/>
    <x v="2"/>
    <s v="elizabeth miller@company.com"/>
    <s v="555-134-7974"/>
    <x v="2"/>
    <x v="2"/>
    <x v="2"/>
    <x v="2"/>
    <x v="2"/>
    <s v="High Performer"/>
    <s v="Eligible for Promotion"/>
  </r>
  <r>
    <n v="237"/>
    <x v="3"/>
    <x v="2"/>
    <x v="1"/>
    <s v="elizabeth_wright@company.com"/>
    <s v="555-667-2524"/>
    <x v="3"/>
    <x v="3"/>
    <x v="3"/>
    <x v="3"/>
    <x v="3"/>
    <s v="High Performer"/>
    <s v="Eligible for Promotion"/>
  </r>
  <r>
    <n v="156"/>
    <x v="4"/>
    <x v="0"/>
    <x v="0"/>
    <s v="james.wilson@company.com"/>
    <s v="217-888-4276"/>
    <x v="4"/>
    <x v="4"/>
    <x v="4"/>
    <x v="4"/>
    <x v="4"/>
    <s v="High Performer"/>
    <s v="Eligible for Promotion"/>
  </r>
  <r>
    <n v="166"/>
    <x v="5"/>
    <x v="3"/>
    <x v="3"/>
    <s v="david o’connel@company.com"/>
    <s v="555-748-9984"/>
    <x v="5"/>
    <x v="5"/>
    <x v="5"/>
    <x v="5"/>
    <x v="5"/>
    <s v="High Performer"/>
    <s v="Eligible for Promotion"/>
  </r>
  <r>
    <n v="366"/>
    <x v="6"/>
    <x v="1"/>
    <x v="0"/>
    <s v="james.anderson@company.com"/>
    <s v="832-854-7385"/>
    <x v="6"/>
    <x v="6"/>
    <x v="6"/>
    <x v="6"/>
    <x v="6"/>
    <s v="High Performer"/>
    <s v="Eligible for Promotion"/>
  </r>
  <r>
    <n v="431"/>
    <x v="7"/>
    <x v="2"/>
    <x v="1"/>
    <s v="john.anderson@company.com"/>
    <s v="555-556-6759"/>
    <x v="7"/>
    <x v="7"/>
    <x v="7"/>
    <x v="7"/>
    <x v="7"/>
    <s v="High Performer"/>
    <s v="Eligible for Promotion"/>
  </r>
  <r>
    <n v="390"/>
    <x v="8"/>
    <x v="4"/>
    <x v="0"/>
    <s v="patricia.martinez@company.com"/>
    <s v="555-463-5953"/>
    <x v="8"/>
    <x v="8"/>
    <x v="8"/>
    <x v="8"/>
    <x v="8"/>
    <s v="High Performer"/>
    <s v="Eligible for Promotion"/>
  </r>
  <r>
    <n v="151"/>
    <x v="9"/>
    <x v="5"/>
    <x v="2"/>
    <s v="william.thomas@company.com"/>
    <s v="555-862-8749"/>
    <x v="9"/>
    <x v="9"/>
    <x v="9"/>
    <x v="9"/>
    <x v="9"/>
    <s v="High Performer"/>
    <s v="Eligible for Promotion"/>
  </r>
  <r>
    <n v="533"/>
    <x v="10"/>
    <x v="3"/>
    <x v="0"/>
    <s v="elizabeth_wilson@company.com"/>
    <s v="403-743-7944"/>
    <x v="10"/>
    <x v="10"/>
    <x v="10"/>
    <x v="10"/>
    <x v="10"/>
    <s v="High Performer"/>
    <s v="Eligible for Promotion"/>
  </r>
  <r>
    <n v="216"/>
    <x v="11"/>
    <x v="5"/>
    <x v="2"/>
    <s v="susangarcia@company.com"/>
    <s v="256-565-7121"/>
    <x v="11"/>
    <x v="11"/>
    <x v="11"/>
    <x v="11"/>
    <x v="11"/>
    <s v="High Performer"/>
    <s v="Eligible for Promotion"/>
  </r>
  <r>
    <n v="225"/>
    <x v="12"/>
    <x v="6"/>
    <x v="1"/>
    <s v="james.martinez@company.com"/>
    <s v="194-648-4120"/>
    <x v="12"/>
    <x v="12"/>
    <x v="12"/>
    <x v="12"/>
    <x v="12"/>
    <s v="High Performer"/>
    <s v="Eligible for Promotion"/>
  </r>
  <r>
    <n v="173"/>
    <x v="13"/>
    <x v="0"/>
    <x v="3"/>
    <s v="james_brown@company.com"/>
    <s v="402-224-5086"/>
    <x v="13"/>
    <x v="13"/>
    <x v="13"/>
    <x v="13"/>
    <x v="13"/>
    <s v="High Performer"/>
    <s v="Eligible for Promotion"/>
  </r>
  <r>
    <n v="298"/>
    <x v="14"/>
    <x v="4"/>
    <x v="0"/>
    <s v="patricia_davis@company.com"/>
    <s v="555-570-5128"/>
    <x v="14"/>
    <x v="14"/>
    <x v="14"/>
    <x v="14"/>
    <x v="14"/>
    <s v="High Performer"/>
    <s v="Eligible for Promotion"/>
  </r>
  <r>
    <n v="281"/>
    <x v="15"/>
    <x v="5"/>
    <x v="0"/>
    <s v="barbara o’connel@company.com"/>
    <s v="409-430-3235"/>
    <x v="15"/>
    <x v="15"/>
    <x v="15"/>
    <x v="15"/>
    <x v="15"/>
    <s v="High Performer"/>
    <s v="Eligible for Promotion"/>
  </r>
  <r>
    <n v="276"/>
    <x v="16"/>
    <x v="1"/>
    <x v="2"/>
    <s v="david.adams@company.com"/>
    <s v="521-663-8848"/>
    <x v="16"/>
    <x v="16"/>
    <x v="16"/>
    <x v="16"/>
    <x v="16"/>
    <s v="High Performer"/>
    <s v="Eligible for Promotion"/>
  </r>
  <r>
    <n v="489"/>
    <x v="1"/>
    <x v="0"/>
    <x v="1"/>
    <s v="michael.garcia@company.com"/>
    <s v="500-692-7241"/>
    <x v="17"/>
    <x v="17"/>
    <x v="17"/>
    <x v="17"/>
    <x v="17"/>
    <s v="High Performer"/>
    <s v="Eligible for Promotion"/>
  </r>
  <r>
    <n v="524"/>
    <x v="17"/>
    <x v="4"/>
    <x v="0"/>
    <s v="mary.garcia@company.com"/>
    <s v="838-860-6139"/>
    <x v="18"/>
    <x v="18"/>
    <x v="18"/>
    <x v="18"/>
    <x v="18"/>
    <s v="High Performer"/>
    <s v="Eligible for Promotion"/>
  </r>
  <r>
    <n v="169"/>
    <x v="13"/>
    <x v="6"/>
    <x v="0"/>
    <s v="jamesbrown@company.com"/>
    <s v="876-195-6684"/>
    <x v="19"/>
    <x v="19"/>
    <x v="19"/>
    <x v="19"/>
    <x v="19"/>
    <s v="High Performer"/>
    <s v="Eligible for Promotion"/>
  </r>
  <r>
    <n v="574"/>
    <x v="18"/>
    <x v="6"/>
    <x v="1"/>
    <s v="anna.o’connel@company.com"/>
    <s v="555-379-3514"/>
    <x v="20"/>
    <x v="20"/>
    <x v="20"/>
    <x v="20"/>
    <x v="20"/>
    <s v="High Performer"/>
    <s v="Eligible for Promotion"/>
  </r>
  <r>
    <n v="432"/>
    <x v="19"/>
    <x v="2"/>
    <x v="2"/>
    <s v="susan.wright@company.com"/>
    <s v="555-359-5826"/>
    <x v="21"/>
    <x v="21"/>
    <x v="21"/>
    <x v="21"/>
    <x v="21"/>
    <s v="High Performer"/>
    <s v="Eligible for Promotion"/>
  </r>
  <r>
    <n v="596"/>
    <x v="20"/>
    <x v="6"/>
    <x v="1"/>
    <s v="robert.taylor@company.com"/>
    <s v="555-192-6452"/>
    <x v="22"/>
    <x v="22"/>
    <x v="22"/>
    <x v="22"/>
    <x v="22"/>
    <s v="High Performer"/>
    <s v="Eligible for Promotion"/>
  </r>
  <r>
    <n v="456"/>
    <x v="21"/>
    <x v="4"/>
    <x v="1"/>
    <s v="barbara_anderson@company.com"/>
    <s v="669-644-2664"/>
    <x v="23"/>
    <x v="23"/>
    <x v="23"/>
    <x v="23"/>
    <x v="23"/>
    <s v="High Performer"/>
    <s v="Eligible for Promotion"/>
  </r>
  <r>
    <n v="138"/>
    <x v="22"/>
    <x v="1"/>
    <x v="3"/>
    <s v="barbara.taylor@company.com"/>
    <s v="555-863-6419"/>
    <x v="24"/>
    <x v="24"/>
    <x v="24"/>
    <x v="24"/>
    <x v="24"/>
    <s v="High Performer"/>
    <s v="Eligible for Promotion"/>
  </r>
  <r>
    <n v="522"/>
    <x v="18"/>
    <x v="5"/>
    <x v="3"/>
    <s v="anna.o’connel@company.com"/>
    <s v="555-531-4738"/>
    <x v="25"/>
    <x v="25"/>
    <x v="25"/>
    <x v="25"/>
    <x v="25"/>
    <s v="High Performer"/>
    <s v="Eligible for Promotion"/>
  </r>
  <r>
    <n v="422"/>
    <x v="23"/>
    <x v="5"/>
    <x v="2"/>
    <s v="elizabethbrown@company.com"/>
    <s v="763-116-3359"/>
    <x v="26"/>
    <x v="26"/>
    <x v="26"/>
    <x v="26"/>
    <x v="26"/>
    <s v="High Performer"/>
    <s v="Eligible for Promotion"/>
  </r>
  <r>
    <n v="286"/>
    <x v="24"/>
    <x v="5"/>
    <x v="2"/>
    <s v="robert.garcia@company.com"/>
    <s v="555-257-1893"/>
    <x v="27"/>
    <x v="27"/>
    <x v="27"/>
    <x v="27"/>
    <x v="27"/>
    <s v="High Performer"/>
    <s v="Eligible for Promotion"/>
  </r>
  <r>
    <n v="585"/>
    <x v="25"/>
    <x v="4"/>
    <x v="0"/>
    <s v="jennifer.wilson@company.com"/>
    <s v="555-227-7304"/>
    <x v="28"/>
    <x v="28"/>
    <x v="28"/>
    <x v="28"/>
    <x v="28"/>
    <s v="High Performer"/>
    <s v="Eligible for Promotion"/>
  </r>
  <r>
    <n v="563"/>
    <x v="26"/>
    <x v="0"/>
    <x v="1"/>
    <s v="william.wilson@company.com"/>
    <s v="303-769-6779"/>
    <x v="29"/>
    <x v="29"/>
    <x v="29"/>
    <x v="29"/>
    <x v="29"/>
    <s v="High Performer"/>
    <s v="Eligible for Promotion"/>
  </r>
  <r>
    <n v="232"/>
    <x v="27"/>
    <x v="6"/>
    <x v="1"/>
    <s v="jennifer.adams@company.com"/>
    <s v="611-965-8109"/>
    <x v="30"/>
    <x v="30"/>
    <x v="30"/>
    <x v="30"/>
    <x v="30"/>
    <s v="High Performer"/>
    <s v="Eligible for Promotion"/>
  </r>
  <r>
    <n v="435"/>
    <x v="28"/>
    <x v="3"/>
    <x v="3"/>
    <s v="william.davis@company.com"/>
    <s v="555-688-1060"/>
    <x v="31"/>
    <x v="31"/>
    <x v="31"/>
    <x v="31"/>
    <x v="31"/>
    <s v="High Performer"/>
    <s v="Eligible for Promotion"/>
  </r>
  <r>
    <n v="197"/>
    <x v="29"/>
    <x v="0"/>
    <x v="1"/>
    <s v="elizabethanderson@company.com"/>
    <s v="584-915-9641"/>
    <x v="32"/>
    <x v="32"/>
    <x v="32"/>
    <x v="32"/>
    <x v="32"/>
    <s v="High Performer"/>
    <s v="Eligible for Promotion"/>
  </r>
  <r>
    <n v="474"/>
    <x v="30"/>
    <x v="4"/>
    <x v="1"/>
    <s v="peter.martinez@company.com"/>
    <s v="714-853-6111"/>
    <x v="33"/>
    <x v="33"/>
    <x v="33"/>
    <x v="33"/>
    <x v="33"/>
    <s v="High Performer"/>
    <s v="Eligible for Promotion"/>
  </r>
  <r>
    <n v="501"/>
    <x v="5"/>
    <x v="5"/>
    <x v="0"/>
    <s v="davido’connel@company.com"/>
    <s v="555-611-5603"/>
    <x v="34"/>
    <x v="34"/>
    <x v="34"/>
    <x v="34"/>
    <x v="34"/>
    <s v="High Performer"/>
    <s v="Eligible for Promotion"/>
  </r>
  <r>
    <n v="178"/>
    <x v="31"/>
    <x v="1"/>
    <x v="0"/>
    <s v="peter.o’connel@company.com"/>
    <s v="555-613-3471"/>
    <x v="35"/>
    <x v="35"/>
    <x v="35"/>
    <x v="35"/>
    <x v="35"/>
    <s v="High Performer"/>
    <s v="Eligible for Promotion"/>
  </r>
  <r>
    <n v="146"/>
    <x v="32"/>
    <x v="2"/>
    <x v="0"/>
    <s v="elizabeth_taylor@company.com"/>
    <s v="555-978-3634"/>
    <x v="36"/>
    <x v="36"/>
    <x v="36"/>
    <x v="36"/>
    <x v="36"/>
    <s v="High Performer"/>
    <s v="Eligible for Promotion"/>
  </r>
  <r>
    <n v="534"/>
    <x v="33"/>
    <x v="3"/>
    <x v="1"/>
    <s v="susan o’connel@company.com"/>
    <s v="868-587-9235"/>
    <x v="37"/>
    <x v="37"/>
    <x v="37"/>
    <x v="37"/>
    <x v="37"/>
    <s v="High Performer"/>
    <s v="Eligible for Promotion"/>
  </r>
  <r>
    <n v="374"/>
    <x v="34"/>
    <x v="2"/>
    <x v="2"/>
    <s v="robert.lopez@company.com"/>
    <s v="479-216-5664"/>
    <x v="38"/>
    <x v="38"/>
    <x v="38"/>
    <x v="38"/>
    <x v="38"/>
    <s v="High Performer"/>
    <s v="Eligible for Promotion"/>
  </r>
  <r>
    <n v="219"/>
    <x v="35"/>
    <x v="6"/>
    <x v="1"/>
    <s v="elizabeth rodriguez@company.com"/>
    <s v="555-887-3218"/>
    <x v="39"/>
    <x v="39"/>
    <x v="39"/>
    <x v="39"/>
    <x v="39"/>
    <s v="High Performer"/>
    <s v="Eligible for Promotion"/>
  </r>
  <r>
    <n v="411"/>
    <x v="36"/>
    <x v="6"/>
    <x v="1"/>
    <s v="richard.wilson@company.com"/>
    <s v="234-209-4845"/>
    <x v="40"/>
    <x v="40"/>
    <x v="40"/>
    <x v="40"/>
    <x v="40"/>
    <s v="High Performer"/>
    <s v="Eligible for Promotion"/>
  </r>
  <r>
    <n v="292"/>
    <x v="19"/>
    <x v="0"/>
    <x v="3"/>
    <s v="susan wright@company.com"/>
    <s v="370-492-8955"/>
    <x v="41"/>
    <x v="41"/>
    <x v="41"/>
    <x v="41"/>
    <x v="41"/>
    <s v="High Performer"/>
    <s v="Eligible for Promotion"/>
  </r>
  <r>
    <n v="565"/>
    <x v="37"/>
    <x v="5"/>
    <x v="2"/>
    <s v="jennifer.rodriguez@company.com"/>
    <s v="555-406-6342"/>
    <x v="42"/>
    <x v="42"/>
    <x v="42"/>
    <x v="42"/>
    <x v="42"/>
    <s v="High Performer"/>
    <s v="Eligible for Promotion"/>
  </r>
  <r>
    <n v="119"/>
    <x v="38"/>
    <x v="1"/>
    <x v="1"/>
    <s v="richard.anderson@company.com"/>
    <s v="555-696-3426"/>
    <x v="43"/>
    <x v="43"/>
    <x v="43"/>
    <x v="43"/>
    <x v="43"/>
    <s v="High Performer"/>
    <s v="Eligible for Promotion"/>
  </r>
  <r>
    <n v="462"/>
    <x v="39"/>
    <x v="5"/>
    <x v="1"/>
    <s v="barbara_wilson@company.com"/>
    <s v="555-320-8278"/>
    <x v="44"/>
    <x v="44"/>
    <x v="44"/>
    <x v="44"/>
    <x v="44"/>
    <s v="High Performer"/>
    <s v="Eligible for Promotion"/>
  </r>
  <r>
    <n v="135"/>
    <x v="40"/>
    <x v="4"/>
    <x v="3"/>
    <s v="jennifer.wright@company.com"/>
    <s v="555-766-5425"/>
    <x v="45"/>
    <x v="45"/>
    <x v="45"/>
    <x v="45"/>
    <x v="45"/>
    <s v="High Performer"/>
    <s v="Eligible for Promotion"/>
  </r>
  <r>
    <n v="234"/>
    <x v="41"/>
    <x v="4"/>
    <x v="2"/>
    <s v="william.martinez@company.com"/>
    <s v="555-154-2600"/>
    <x v="46"/>
    <x v="46"/>
    <x v="46"/>
    <x v="46"/>
    <x v="46"/>
    <s v="High Performer"/>
    <s v="Eligible for Promotion"/>
  </r>
  <r>
    <n v="557"/>
    <x v="42"/>
    <x v="1"/>
    <x v="0"/>
    <s v="barbara.martinez@company.com"/>
    <s v="555-350-1756"/>
    <x v="47"/>
    <x v="47"/>
    <x v="47"/>
    <x v="47"/>
    <x v="47"/>
    <s v="High Performer"/>
    <s v="Eligible for Promotion"/>
  </r>
  <r>
    <n v="182"/>
    <x v="43"/>
    <x v="3"/>
    <x v="2"/>
    <s v="william.brown@company.com"/>
    <s v="945-931-8641"/>
    <x v="48"/>
    <x v="48"/>
    <x v="48"/>
    <x v="48"/>
    <x v="48"/>
    <s v="High Performer"/>
    <s v="Eligible for Promotion"/>
  </r>
  <r>
    <n v="583"/>
    <x v="44"/>
    <x v="4"/>
    <x v="0"/>
    <s v="peterrodriguez@company.com"/>
    <s v="555-582-8231"/>
    <x v="49"/>
    <x v="49"/>
    <x v="49"/>
    <x v="49"/>
    <x v="49"/>
    <s v="High Performer"/>
    <s v="Eligible for Promotion"/>
  </r>
  <r>
    <n v="399"/>
    <x v="45"/>
    <x v="2"/>
    <x v="0"/>
    <s v="richard.rodriguez@company.com"/>
    <s v="921-306-3154"/>
    <x v="50"/>
    <x v="50"/>
    <x v="50"/>
    <x v="50"/>
    <x v="50"/>
    <s v="High Performer"/>
    <s v="Eligible for Promotion"/>
  </r>
  <r>
    <n v="288"/>
    <x v="46"/>
    <x v="4"/>
    <x v="1"/>
    <s v="barbara_lopez@company.com"/>
    <s v="555-677-2009"/>
    <x v="51"/>
    <x v="51"/>
    <x v="51"/>
    <x v="51"/>
    <x v="51"/>
    <s v="High Performer"/>
    <s v="Eligible for Promotion"/>
  </r>
  <r>
    <n v="141"/>
    <x v="47"/>
    <x v="4"/>
    <x v="1"/>
    <s v="peter wilson@company.com"/>
    <s v="555-221-7818"/>
    <x v="52"/>
    <x v="52"/>
    <x v="52"/>
    <x v="52"/>
    <x v="52"/>
    <s v="High Performer"/>
    <s v="Eligible for Promotion"/>
  </r>
  <r>
    <n v="494"/>
    <x v="48"/>
    <x v="6"/>
    <x v="3"/>
    <s v="susan lopez@company.com"/>
    <s v="530-716-9973"/>
    <x v="53"/>
    <x v="53"/>
    <x v="53"/>
    <x v="53"/>
    <x v="53"/>
    <s v="High Performer"/>
    <s v="Eligible for Promotion"/>
  </r>
  <r>
    <n v="206"/>
    <x v="49"/>
    <x v="4"/>
    <x v="3"/>
    <s v="michael.wright@company.com"/>
    <s v="711-585-5350"/>
    <x v="54"/>
    <x v="54"/>
    <x v="54"/>
    <x v="54"/>
    <x v="54"/>
    <s v="High Performer"/>
    <s v="Eligible for Promotion"/>
  </r>
  <r>
    <n v="289"/>
    <x v="50"/>
    <x v="0"/>
    <x v="0"/>
    <s v="linda adams@company.com"/>
    <s v="555-528-9773"/>
    <x v="55"/>
    <x v="55"/>
    <x v="55"/>
    <x v="55"/>
    <x v="55"/>
    <s v="High Performer"/>
    <s v="Eligible for Promotion"/>
  </r>
  <r>
    <n v="511"/>
    <x v="51"/>
    <x v="4"/>
    <x v="3"/>
    <s v="mary_o’connel@company.com"/>
    <s v="555-701-8454"/>
    <x v="56"/>
    <x v="56"/>
    <x v="56"/>
    <x v="56"/>
    <x v="56"/>
    <s v="High Performer"/>
    <s v="Eligible for Promotion"/>
  </r>
  <r>
    <n v="158"/>
    <x v="52"/>
    <x v="2"/>
    <x v="3"/>
    <s v="barbara_brown@company.com"/>
    <s v="279-305-3165"/>
    <x v="57"/>
    <x v="57"/>
    <x v="57"/>
    <x v="57"/>
    <x v="57"/>
    <s v="High Performer"/>
    <s v="Eligible for Promotion"/>
  </r>
  <r>
    <n v="125"/>
    <x v="53"/>
    <x v="4"/>
    <x v="0"/>
    <s v="michael.thomas@company.com"/>
    <s v="555-318-9375"/>
    <x v="58"/>
    <x v="58"/>
    <x v="58"/>
    <x v="58"/>
    <x v="58"/>
    <s v="High Performer"/>
    <s v="Eligible for Promotion"/>
  </r>
  <r>
    <n v="552"/>
    <x v="54"/>
    <x v="1"/>
    <x v="1"/>
    <s v="mary.miller@company.com"/>
    <s v="555-449-4102"/>
    <x v="59"/>
    <x v="59"/>
    <x v="59"/>
    <x v="59"/>
    <x v="59"/>
    <s v="High Performer"/>
    <s v="Eligible for Promotion"/>
  </r>
  <r>
    <n v="323"/>
    <x v="55"/>
    <x v="3"/>
    <x v="3"/>
    <s v="linda.wilson@company.com"/>
    <s v="555-907-6122"/>
    <x v="60"/>
    <x v="60"/>
    <x v="60"/>
    <x v="60"/>
    <x v="60"/>
    <s v="High Performer"/>
    <s v="Eligible for Promotion"/>
  </r>
  <r>
    <n v="229"/>
    <x v="56"/>
    <x v="1"/>
    <x v="1"/>
    <s v="anna.adams@company.com"/>
    <s v="103-926-2289"/>
    <x v="61"/>
    <x v="61"/>
    <x v="61"/>
    <x v="61"/>
    <x v="61"/>
    <s v="Low Performer"/>
    <s v="Review Cause Effect"/>
  </r>
  <r>
    <n v="521"/>
    <x v="57"/>
    <x v="6"/>
    <x v="0"/>
    <s v="anna garcia@company.com"/>
    <s v="257-762-6959"/>
    <x v="62"/>
    <x v="62"/>
    <x v="62"/>
    <x v="62"/>
    <x v="62"/>
    <s v="High Performer"/>
    <s v="Eligible for Promotion"/>
  </r>
  <r>
    <n v="551"/>
    <x v="58"/>
    <x v="1"/>
    <x v="3"/>
    <s v="patricia_anderson@company.com"/>
    <s v="555-697-9866"/>
    <x v="63"/>
    <x v="63"/>
    <x v="63"/>
    <x v="63"/>
    <x v="63"/>
    <s v="High Performer"/>
    <s v="Eligible for Promotion"/>
  </r>
  <r>
    <n v="454"/>
    <x v="59"/>
    <x v="4"/>
    <x v="0"/>
    <s v="barbara rodriguez@company.com"/>
    <s v="555-639-3010"/>
    <x v="64"/>
    <x v="64"/>
    <x v="64"/>
    <x v="64"/>
    <x v="64"/>
    <s v="High Performer"/>
    <s v="Eligible for Promotion"/>
  </r>
  <r>
    <n v="359"/>
    <x v="60"/>
    <x v="6"/>
    <x v="3"/>
    <s v="susan_thomas@company.com"/>
    <s v="360-092-9253"/>
    <x v="65"/>
    <x v="65"/>
    <x v="65"/>
    <x v="65"/>
    <x v="65"/>
    <s v="High Performer"/>
    <s v="Eligible for Promotion"/>
  </r>
  <r>
    <n v="203"/>
    <x v="61"/>
    <x v="6"/>
    <x v="3"/>
    <s v="david.davis@company.com"/>
    <s v="746-072-8316"/>
    <x v="66"/>
    <x v="66"/>
    <x v="66"/>
    <x v="66"/>
    <x v="66"/>
    <s v="High Performer"/>
    <s v="Eligible for Promotion"/>
  </r>
  <r>
    <n v="384"/>
    <x v="62"/>
    <x v="4"/>
    <x v="3"/>
    <s v="peter.miller@company.com"/>
    <s v="555-661-7540"/>
    <x v="67"/>
    <x v="67"/>
    <x v="67"/>
    <x v="67"/>
    <x v="67"/>
    <s v="High Performer"/>
    <s v="Eligible for Promotion"/>
  </r>
  <r>
    <n v="220"/>
    <x v="63"/>
    <x v="6"/>
    <x v="3"/>
    <s v="peter.brown@company.com"/>
    <s v="555-845-4648"/>
    <x v="68"/>
    <x v="68"/>
    <x v="68"/>
    <x v="68"/>
    <x v="68"/>
    <s v="High Performer"/>
    <s v="Eligible for Promotion"/>
  </r>
  <r>
    <n v="368"/>
    <x v="64"/>
    <x v="2"/>
    <x v="3"/>
    <s v="john_lopez@company.com"/>
    <s v="555-115-9086"/>
    <x v="69"/>
    <x v="69"/>
    <x v="69"/>
    <x v="69"/>
    <x v="69"/>
    <s v="High Performer"/>
    <s v="Eligible for Promotion"/>
  </r>
  <r>
    <n v="181"/>
    <x v="65"/>
    <x v="5"/>
    <x v="0"/>
    <s v="annajohnson@company.com"/>
    <s v="555-964-2657"/>
    <x v="70"/>
    <x v="70"/>
    <x v="70"/>
    <x v="70"/>
    <x v="70"/>
    <s v="High Performer"/>
    <s v="Eligible for Promotion"/>
  </r>
  <r>
    <n v="278"/>
    <x v="66"/>
    <x v="1"/>
    <x v="3"/>
    <s v="mary taylor@company.com"/>
    <s v="507-078-0669"/>
    <x v="71"/>
    <x v="71"/>
    <x v="71"/>
    <x v="71"/>
    <x v="71"/>
    <s v="High Performer"/>
    <s v="Eligible for Promotion"/>
  </r>
  <r>
    <n v="185"/>
    <x v="55"/>
    <x v="2"/>
    <x v="3"/>
    <s v="lindawilson@company.com"/>
    <s v="201-959-6493"/>
    <x v="72"/>
    <x v="72"/>
    <x v="72"/>
    <x v="72"/>
    <x v="72"/>
    <s v="High Performer"/>
    <s v="Eligible for Promotion"/>
  </r>
  <r>
    <n v="211"/>
    <x v="67"/>
    <x v="6"/>
    <x v="0"/>
    <s v="elizabeth.martinez@company.com"/>
    <s v="555-516-8793"/>
    <x v="73"/>
    <x v="73"/>
    <x v="73"/>
    <x v="73"/>
    <x v="73"/>
    <s v="High Performer"/>
    <s v="Eligible for Promotion"/>
  </r>
  <r>
    <n v="383"/>
    <x v="68"/>
    <x v="2"/>
    <x v="3"/>
    <s v="john wilson@company.com"/>
    <s v="555-814-4617"/>
    <x v="74"/>
    <x v="74"/>
    <x v="74"/>
    <x v="74"/>
    <x v="74"/>
    <s v="High Performer"/>
    <s v="Eligible for Promotion"/>
  </r>
  <r>
    <n v="429"/>
    <x v="55"/>
    <x v="6"/>
    <x v="0"/>
    <s v="linda.wilson@company.com"/>
    <s v="555-368-3378"/>
    <x v="75"/>
    <x v="75"/>
    <x v="75"/>
    <x v="75"/>
    <x v="75"/>
    <s v="High Performer"/>
    <s v="Eligible for Promotion"/>
  </r>
  <r>
    <n v="176"/>
    <x v="69"/>
    <x v="0"/>
    <x v="3"/>
    <s v="susan_johnson@company.com"/>
    <s v="341-205-3399"/>
    <x v="76"/>
    <x v="76"/>
    <x v="76"/>
    <x v="76"/>
    <x v="76"/>
    <s v="High Performer"/>
    <s v="Eligible for Promotion"/>
  </r>
  <r>
    <n v="367"/>
    <x v="24"/>
    <x v="6"/>
    <x v="3"/>
    <s v="robert.garcia@company.com"/>
    <s v="286-239-5744"/>
    <x v="77"/>
    <x v="77"/>
    <x v="77"/>
    <x v="77"/>
    <x v="77"/>
    <s v="High Performer"/>
    <s v="Eligible for Promotion"/>
  </r>
  <r>
    <n v="300"/>
    <x v="41"/>
    <x v="6"/>
    <x v="2"/>
    <s v="william.martinez@company.com"/>
    <s v="555-514-7361"/>
    <x v="78"/>
    <x v="78"/>
    <x v="78"/>
    <x v="78"/>
    <x v="78"/>
    <s v="High Performer"/>
    <s v="Eligible for Promotion"/>
  </r>
  <r>
    <n v="425"/>
    <x v="70"/>
    <x v="5"/>
    <x v="1"/>
    <s v="patricia.adams@company.com"/>
    <s v="555-564-9399"/>
    <x v="79"/>
    <x v="79"/>
    <x v="79"/>
    <x v="79"/>
    <x v="79"/>
    <s v="High Performer"/>
    <s v="Eligible for Promotion"/>
  </r>
  <r>
    <n v="483"/>
    <x v="41"/>
    <x v="1"/>
    <x v="1"/>
    <s v="william.martinez@company.com"/>
    <s v="555-270-5907"/>
    <x v="80"/>
    <x v="80"/>
    <x v="80"/>
    <x v="80"/>
    <x v="80"/>
    <s v="High Performer"/>
    <s v="Eligible for Promotion"/>
  </r>
  <r>
    <n v="242"/>
    <x v="71"/>
    <x v="1"/>
    <x v="0"/>
    <s v="peter thomas@company.com"/>
    <s v="555-510-9755"/>
    <x v="81"/>
    <x v="81"/>
    <x v="81"/>
    <x v="81"/>
    <x v="81"/>
    <s v="High Performer"/>
    <s v="Eligible for Promotion"/>
  </r>
  <r>
    <n v="595"/>
    <x v="72"/>
    <x v="4"/>
    <x v="1"/>
    <s v="richard.lopez@company.com"/>
    <s v="555-274-2465"/>
    <x v="82"/>
    <x v="82"/>
    <x v="82"/>
    <x v="82"/>
    <x v="82"/>
    <s v="High Performer"/>
    <s v="Eligible for Promotion"/>
  </r>
  <r>
    <n v="213"/>
    <x v="73"/>
    <x v="0"/>
    <x v="0"/>
    <s v="jennifer_brown@company.com"/>
    <s v="555-763-5215"/>
    <x v="83"/>
    <x v="83"/>
    <x v="83"/>
    <x v="83"/>
    <x v="83"/>
    <s v="High Performer"/>
    <s v="Eligible for Promotion"/>
  </r>
  <r>
    <n v="466"/>
    <x v="74"/>
    <x v="1"/>
    <x v="1"/>
    <s v="susan_rodriguez@company.com"/>
    <s v="555-999-3219"/>
    <x v="84"/>
    <x v="84"/>
    <x v="84"/>
    <x v="84"/>
    <x v="84"/>
    <s v="High Performer"/>
    <s v="Eligible for Promotion"/>
  </r>
  <r>
    <n v="493"/>
    <x v="62"/>
    <x v="5"/>
    <x v="2"/>
    <s v="petermiller@company.com"/>
    <s v="555-380-2312"/>
    <x v="85"/>
    <x v="85"/>
    <x v="85"/>
    <x v="85"/>
    <x v="85"/>
    <s v="High Performer"/>
    <s v="Eligible for Promotion"/>
  </r>
  <r>
    <n v="251"/>
    <x v="40"/>
    <x v="1"/>
    <x v="1"/>
    <s v="jennifer_wright@company.com"/>
    <s v="555-878-8231"/>
    <x v="86"/>
    <x v="86"/>
    <x v="86"/>
    <x v="86"/>
    <x v="86"/>
    <s v="High Performer"/>
    <s v="Eligible for Promotion"/>
  </r>
  <r>
    <n v="319"/>
    <x v="75"/>
    <x v="1"/>
    <x v="0"/>
    <s v="john adams@company.com"/>
    <s v="555-206-7347"/>
    <x v="87"/>
    <x v="87"/>
    <x v="87"/>
    <x v="87"/>
    <x v="87"/>
    <s v="High Performer"/>
    <s v="Eligible for Promotion"/>
  </r>
  <r>
    <n v="372"/>
    <x v="76"/>
    <x v="2"/>
    <x v="3"/>
    <s v="anna.taylor@company.com"/>
    <s v="464-760-3521"/>
    <x v="88"/>
    <x v="88"/>
    <x v="88"/>
    <x v="88"/>
    <x v="88"/>
    <s v="High Performer"/>
    <s v="Eligible for Promotion"/>
  </r>
  <r>
    <n v="243"/>
    <x v="56"/>
    <x v="1"/>
    <x v="0"/>
    <s v="anna_adams@company.com"/>
    <s v="555-364-4637"/>
    <x v="89"/>
    <x v="89"/>
    <x v="89"/>
    <x v="89"/>
    <x v="89"/>
    <s v="High Performer"/>
    <s v="Eligible for Promotion"/>
  </r>
  <r>
    <n v="343"/>
    <x v="26"/>
    <x v="3"/>
    <x v="1"/>
    <s v="william.wilson@company.com"/>
    <s v="605-698-9774"/>
    <x v="90"/>
    <x v="90"/>
    <x v="90"/>
    <x v="90"/>
    <x v="90"/>
    <s v="High Performer"/>
    <s v="Eligible for Promotion"/>
  </r>
  <r>
    <n v="396"/>
    <x v="41"/>
    <x v="4"/>
    <x v="1"/>
    <s v="william martinez@company.com"/>
    <s v="415-753-1471"/>
    <x v="91"/>
    <x v="91"/>
    <x v="91"/>
    <x v="91"/>
    <x v="91"/>
    <s v="High Performer"/>
    <s v="Eligible for Promotion"/>
  </r>
  <r>
    <n v="478"/>
    <x v="33"/>
    <x v="6"/>
    <x v="0"/>
    <s v="susan.o’connel@company.com"/>
    <s v="555-655-6629"/>
    <x v="92"/>
    <x v="92"/>
    <x v="92"/>
    <x v="92"/>
    <x v="92"/>
    <s v="High Performer"/>
    <s v="Eligible for Promotion"/>
  </r>
  <r>
    <n v="471"/>
    <x v="77"/>
    <x v="0"/>
    <x v="1"/>
    <s v="patricia.smith@company.com"/>
    <s v="555-786-6759"/>
    <x v="93"/>
    <x v="93"/>
    <x v="93"/>
    <x v="93"/>
    <x v="93"/>
    <s v="High Performer"/>
    <s v="Eligible for Promotion"/>
  </r>
  <r>
    <n v="541"/>
    <x v="78"/>
    <x v="6"/>
    <x v="2"/>
    <s v="michael.smith@company.com"/>
    <s v="555-102-8807"/>
    <x v="94"/>
    <x v="94"/>
    <x v="94"/>
    <x v="94"/>
    <x v="94"/>
    <s v="High Performer"/>
    <s v="Eligible for Promotion"/>
  </r>
  <r>
    <n v="344"/>
    <x v="33"/>
    <x v="4"/>
    <x v="2"/>
    <s v="susan o’connel@company.com"/>
    <s v="555-479-1711"/>
    <x v="95"/>
    <x v="95"/>
    <x v="95"/>
    <x v="95"/>
    <x v="95"/>
    <s v="High Performer"/>
    <s v="Eligible for Promotion"/>
  </r>
  <r>
    <n v="437"/>
    <x v="79"/>
    <x v="2"/>
    <x v="3"/>
    <s v="patricia.wilson@company.com"/>
    <s v="555-186-8175"/>
    <x v="96"/>
    <x v="96"/>
    <x v="96"/>
    <x v="96"/>
    <x v="96"/>
    <s v="High Performer"/>
    <s v="Eligible for Promotion"/>
  </r>
  <r>
    <n v="316"/>
    <x v="80"/>
    <x v="0"/>
    <x v="3"/>
    <s v="john o’connel@company.com"/>
    <s v="555-945-1889"/>
    <x v="97"/>
    <x v="97"/>
    <x v="97"/>
    <x v="97"/>
    <x v="97"/>
    <s v="High Performer"/>
    <s v="Eligible for Promotion"/>
  </r>
  <r>
    <n v="481"/>
    <x v="81"/>
    <x v="0"/>
    <x v="3"/>
    <s v="barbara.smith@company.com"/>
    <s v="555-459-1924"/>
    <x v="98"/>
    <x v="98"/>
    <x v="98"/>
    <x v="98"/>
    <x v="98"/>
    <s v="High Performer"/>
    <s v="Eligible for Promotion"/>
  </r>
  <r>
    <n v="382"/>
    <x v="82"/>
    <x v="3"/>
    <x v="0"/>
    <s v="michael.taylor@company.com"/>
    <s v="555-180-1916"/>
    <x v="99"/>
    <x v="99"/>
    <x v="99"/>
    <x v="99"/>
    <x v="99"/>
    <s v="High Performer"/>
    <s v="Eligible for Promotion"/>
  </r>
  <r>
    <n v="473"/>
    <x v="39"/>
    <x v="4"/>
    <x v="2"/>
    <s v="barbara wilson@company.com"/>
    <s v="555-226-8633"/>
    <x v="100"/>
    <x v="100"/>
    <x v="100"/>
    <x v="100"/>
    <x v="100"/>
    <s v="High Performer"/>
    <s v="Eligible for Promotion"/>
  </r>
  <r>
    <n v="334"/>
    <x v="83"/>
    <x v="1"/>
    <x v="3"/>
    <s v="patricia_brown@company.com"/>
    <s v="555-904-4629"/>
    <x v="101"/>
    <x v="101"/>
    <x v="101"/>
    <x v="101"/>
    <x v="101"/>
    <s v="High Performer"/>
    <s v="Eligible for Promotion"/>
  </r>
  <r>
    <n v="443"/>
    <x v="84"/>
    <x v="5"/>
    <x v="0"/>
    <s v="peter.garcia@company.com"/>
    <s v="555-983-9842"/>
    <x v="102"/>
    <x v="102"/>
    <x v="102"/>
    <x v="102"/>
    <x v="102"/>
    <s v="High Performer"/>
    <s v="Eligible for Promotion"/>
  </r>
  <r>
    <n v="322"/>
    <x v="85"/>
    <x v="5"/>
    <x v="2"/>
    <s v="mary_johnson@company.com"/>
    <s v="555-308-9866"/>
    <x v="103"/>
    <x v="103"/>
    <x v="103"/>
    <x v="103"/>
    <x v="103"/>
    <s v="High Performer"/>
    <s v="Eligible for Promotion"/>
  </r>
  <r>
    <n v="505"/>
    <x v="86"/>
    <x v="0"/>
    <x v="3"/>
    <s v="barbarawright@company.com"/>
    <s v="977-825-6009"/>
    <x v="104"/>
    <x v="104"/>
    <x v="104"/>
    <x v="104"/>
    <x v="104"/>
    <s v="High Performer"/>
    <s v="Eligible for Promotion"/>
  </r>
  <r>
    <n v="155"/>
    <x v="87"/>
    <x v="4"/>
    <x v="3"/>
    <s v="david.miller@company.com"/>
    <s v="555-261-2210"/>
    <x v="105"/>
    <x v="105"/>
    <x v="105"/>
    <x v="105"/>
    <x v="105"/>
    <s v="High Performer"/>
    <s v="Eligible for Promotion"/>
  </r>
  <r>
    <n v="417"/>
    <x v="36"/>
    <x v="1"/>
    <x v="0"/>
    <s v="richardwilson@company.com"/>
    <s v="555-448-4411"/>
    <x v="106"/>
    <x v="106"/>
    <x v="106"/>
    <x v="106"/>
    <x v="106"/>
    <s v="High Performer"/>
    <s v="Eligible for Promotion"/>
  </r>
  <r>
    <n v="463"/>
    <x v="23"/>
    <x v="0"/>
    <x v="1"/>
    <s v="elizabethbrown@company.com"/>
    <s v="555-704-7156"/>
    <x v="107"/>
    <x v="107"/>
    <x v="107"/>
    <x v="107"/>
    <x v="107"/>
    <s v="High Performer"/>
    <s v="Eligible for Promotion"/>
  </r>
  <r>
    <n v="379"/>
    <x v="48"/>
    <x v="0"/>
    <x v="2"/>
    <s v="susan lopez@company.com"/>
    <s v="555-646-8258"/>
    <x v="108"/>
    <x v="108"/>
    <x v="108"/>
    <x v="108"/>
    <x v="108"/>
    <s v="High Performer"/>
    <s v="Eligible for Promotion"/>
  </r>
  <r>
    <n v="484"/>
    <x v="88"/>
    <x v="5"/>
    <x v="1"/>
    <s v="james_garcia@company.com"/>
    <s v="217-409-3450"/>
    <x v="109"/>
    <x v="109"/>
    <x v="109"/>
    <x v="109"/>
    <x v="109"/>
    <s v="High Performer"/>
    <s v="Eligible for Promotion"/>
  </r>
  <r>
    <n v="340"/>
    <x v="89"/>
    <x v="3"/>
    <x v="3"/>
    <s v="david lopez@company.com"/>
    <s v="776-335-7793"/>
    <x v="110"/>
    <x v="110"/>
    <x v="110"/>
    <x v="110"/>
    <x v="110"/>
    <s v="High Performer"/>
    <s v="Eligible for Promotion"/>
  </r>
  <r>
    <n v="439"/>
    <x v="27"/>
    <x v="3"/>
    <x v="2"/>
    <s v="jennifer.adams@company.com"/>
    <s v="555-955-2047"/>
    <x v="111"/>
    <x v="111"/>
    <x v="111"/>
    <x v="111"/>
    <x v="111"/>
    <s v="High Performer"/>
    <s v="Eligible for Promotion"/>
  </r>
  <r>
    <n v="127"/>
    <x v="90"/>
    <x v="3"/>
    <x v="2"/>
    <s v="susan.anderson@company.com"/>
    <s v="873-702-5391"/>
    <x v="112"/>
    <x v="112"/>
    <x v="112"/>
    <x v="112"/>
    <x v="112"/>
    <s v="High Performer"/>
    <s v="Eligible for Promotion"/>
  </r>
  <r>
    <n v="360"/>
    <x v="91"/>
    <x v="5"/>
    <x v="0"/>
    <s v="patricia.rodriguez@company.com"/>
    <s v="555-989-3745"/>
    <x v="113"/>
    <x v="113"/>
    <x v="113"/>
    <x v="113"/>
    <x v="113"/>
    <s v="High Performer"/>
    <s v="Eligible for Promotion"/>
  </r>
  <r>
    <n v="529"/>
    <x v="28"/>
    <x v="1"/>
    <x v="0"/>
    <s v="william.davis@company.com"/>
    <s v="555-247-9286"/>
    <x v="114"/>
    <x v="114"/>
    <x v="114"/>
    <x v="114"/>
    <x v="114"/>
    <s v="High Performer"/>
    <s v="Eligible for Promotion"/>
  </r>
  <r>
    <n v="418"/>
    <x v="18"/>
    <x v="6"/>
    <x v="0"/>
    <s v="anna.o’connel@company.com"/>
    <s v="555-706-8584"/>
    <x v="115"/>
    <x v="115"/>
    <x v="115"/>
    <x v="115"/>
    <x v="115"/>
    <s v="High Performer"/>
    <s v="Eligible for Promotion"/>
  </r>
  <r>
    <n v="545"/>
    <x v="92"/>
    <x v="2"/>
    <x v="0"/>
    <s v="robert.thomas@company.com"/>
    <s v="555-964-7666"/>
    <x v="116"/>
    <x v="116"/>
    <x v="116"/>
    <x v="116"/>
    <x v="116"/>
    <s v="High Performer"/>
    <s v="Eligible for Promotion"/>
  </r>
  <r>
    <n v="587"/>
    <x v="93"/>
    <x v="1"/>
    <x v="2"/>
    <s v="robert.miller@company.com"/>
    <s v="759-828-7297"/>
    <x v="117"/>
    <x v="117"/>
    <x v="117"/>
    <x v="117"/>
    <x v="117"/>
    <s v="High Performer"/>
    <s v="Eligible for Promotion"/>
  </r>
  <r>
    <n v="222"/>
    <x v="54"/>
    <x v="6"/>
    <x v="1"/>
    <s v="mary.miller@company.com"/>
    <s v="555-243-9255"/>
    <x v="118"/>
    <x v="118"/>
    <x v="118"/>
    <x v="118"/>
    <x v="118"/>
    <s v="High Performer"/>
    <s v="Eligible for Promotion"/>
  </r>
  <r>
    <n v="351"/>
    <x v="94"/>
    <x v="3"/>
    <x v="0"/>
    <s v="john davis@company.com"/>
    <s v="555-363-9813"/>
    <x v="119"/>
    <x v="119"/>
    <x v="119"/>
    <x v="119"/>
    <x v="119"/>
    <s v="High Performer"/>
    <s v="Eligible for Promotion"/>
  </r>
  <r>
    <n v="378"/>
    <x v="19"/>
    <x v="6"/>
    <x v="2"/>
    <s v="susan wright@company.com"/>
    <s v="420-451-1084"/>
    <x v="120"/>
    <x v="120"/>
    <x v="120"/>
    <x v="120"/>
    <x v="120"/>
    <s v="High Performer"/>
    <s v="Eligible for Promotion"/>
  </r>
  <r>
    <n v="517"/>
    <x v="53"/>
    <x v="3"/>
    <x v="3"/>
    <s v="michael.thomas@company.com"/>
    <s v="555-915-8738"/>
    <x v="121"/>
    <x v="121"/>
    <x v="121"/>
    <x v="121"/>
    <x v="121"/>
    <s v="High Performer"/>
    <s v="Eligible for Promotion"/>
  </r>
  <r>
    <n v="465"/>
    <x v="11"/>
    <x v="4"/>
    <x v="2"/>
    <s v="susan.garcia@company.com"/>
    <s v="779-062-5760"/>
    <x v="122"/>
    <x v="122"/>
    <x v="122"/>
    <x v="122"/>
    <x v="122"/>
    <s v="High Performer"/>
    <s v="Eligible for Promotion"/>
  </r>
  <r>
    <n v="194"/>
    <x v="63"/>
    <x v="1"/>
    <x v="3"/>
    <s v="peter.brown@company.com"/>
    <s v="555-853-4048"/>
    <x v="123"/>
    <x v="123"/>
    <x v="123"/>
    <x v="123"/>
    <x v="123"/>
    <s v="High Performer"/>
    <s v="Eligible for Promotion"/>
  </r>
  <r>
    <n v="518"/>
    <x v="89"/>
    <x v="3"/>
    <x v="2"/>
    <s v="david lopez@company.com"/>
    <s v="555-410-4845"/>
    <x v="124"/>
    <x v="124"/>
    <x v="124"/>
    <x v="124"/>
    <x v="124"/>
    <s v="High Performer"/>
    <s v="Eligible for Promotion"/>
  </r>
  <r>
    <n v="562"/>
    <x v="85"/>
    <x v="5"/>
    <x v="2"/>
    <s v="mary.johnson@company.com"/>
    <s v="555-437-5096"/>
    <x v="125"/>
    <x v="125"/>
    <x v="125"/>
    <x v="125"/>
    <x v="125"/>
    <s v="High Performer"/>
    <s v="Eligible for Promotion"/>
  </r>
  <r>
    <n v="317"/>
    <x v="37"/>
    <x v="6"/>
    <x v="0"/>
    <s v="jennifer.rodriguez@company.com"/>
    <s v="102-449-6818"/>
    <x v="126"/>
    <x v="126"/>
    <x v="126"/>
    <x v="126"/>
    <x v="126"/>
    <s v="High Performer"/>
    <s v="Eligible for Promotion"/>
  </r>
  <r>
    <n v="295"/>
    <x v="43"/>
    <x v="0"/>
    <x v="1"/>
    <s v="williambrown@company.com"/>
    <s v="555-133-8478"/>
    <x v="127"/>
    <x v="127"/>
    <x v="127"/>
    <x v="127"/>
    <x v="127"/>
    <s v="High Performer"/>
    <s v="Eligible for Promotion"/>
  </r>
  <r>
    <n v="357"/>
    <x v="95"/>
    <x v="3"/>
    <x v="0"/>
    <s v="michael.rodriguez@company.com"/>
    <s v="817-870-7099"/>
    <x v="128"/>
    <x v="128"/>
    <x v="128"/>
    <x v="128"/>
    <x v="128"/>
    <s v="High Performer"/>
    <s v="Eligible for Promotion"/>
  </r>
  <r>
    <n v="391"/>
    <x v="93"/>
    <x v="3"/>
    <x v="3"/>
    <s v="robert.miller@company.com"/>
    <s v="555-527-4938"/>
    <x v="129"/>
    <x v="129"/>
    <x v="129"/>
    <x v="129"/>
    <x v="129"/>
    <s v="High Performer"/>
    <s v="Eligible for Promotion"/>
  </r>
  <r>
    <n v="407"/>
    <x v="12"/>
    <x v="0"/>
    <x v="3"/>
    <s v="james.martinez@company.com"/>
    <s v="555-742-8546"/>
    <x v="130"/>
    <x v="130"/>
    <x v="130"/>
    <x v="130"/>
    <x v="130"/>
    <s v="High Performer"/>
    <s v="Eligible for Promotion"/>
  </r>
  <r>
    <n v="196"/>
    <x v="96"/>
    <x v="1"/>
    <x v="2"/>
    <s v="anna.rodriguez@company.com"/>
    <s v="555-305-3275"/>
    <x v="131"/>
    <x v="131"/>
    <x v="131"/>
    <x v="131"/>
    <x v="131"/>
    <s v="High Performer"/>
    <s v="Eligible for Promotion"/>
  </r>
  <r>
    <n v="143"/>
    <x v="70"/>
    <x v="3"/>
    <x v="3"/>
    <s v="patricia.adams@company.com"/>
    <s v="172-803-4824"/>
    <x v="132"/>
    <x v="132"/>
    <x v="132"/>
    <x v="132"/>
    <x v="132"/>
    <s v="High Performer"/>
    <s v="Eligible for Promotion"/>
  </r>
  <r>
    <n v="142"/>
    <x v="97"/>
    <x v="1"/>
    <x v="1"/>
    <s v="elizabeth garcia@company.com"/>
    <s v="555-857-2625"/>
    <x v="133"/>
    <x v="133"/>
    <x v="133"/>
    <x v="133"/>
    <x v="133"/>
    <s v="High Performer"/>
    <s v="Eligible for Promotion"/>
  </r>
  <r>
    <n v="459"/>
    <x v="57"/>
    <x v="2"/>
    <x v="1"/>
    <s v="anna.garcia@company.com"/>
    <s v="555-104-9948"/>
    <x v="134"/>
    <x v="134"/>
    <x v="134"/>
    <x v="134"/>
    <x v="134"/>
    <s v="High Performer"/>
    <s v="Eligible for Promotion"/>
  </r>
  <r>
    <n v="110"/>
    <x v="98"/>
    <x v="3"/>
    <x v="2"/>
    <s v="richard.wright@company.com"/>
    <s v="555-446-1344"/>
    <x v="135"/>
    <x v="135"/>
    <x v="135"/>
    <x v="135"/>
    <x v="135"/>
    <s v="High Performer"/>
    <s v="Eligible for Promotion"/>
  </r>
  <r>
    <n v="190"/>
    <x v="99"/>
    <x v="0"/>
    <x v="2"/>
    <s v="james.adams@company.com"/>
    <s v="555-423-6080"/>
    <x v="136"/>
    <x v="136"/>
    <x v="136"/>
    <x v="136"/>
    <x v="136"/>
    <s v="High Performer"/>
    <s v="Eligible for Promotion"/>
  </r>
  <r>
    <n v="506"/>
    <x v="100"/>
    <x v="0"/>
    <x v="1"/>
    <s v="david.johnson@company.com"/>
    <s v="917-156-2158"/>
    <x v="137"/>
    <x v="137"/>
    <x v="137"/>
    <x v="137"/>
    <x v="137"/>
    <s v="High Performer"/>
    <s v="Eligible for Promotion"/>
  </r>
  <r>
    <n v="592"/>
    <x v="101"/>
    <x v="5"/>
    <x v="0"/>
    <s v="michael.miller@company.com"/>
    <s v="555-725-1937"/>
    <x v="138"/>
    <x v="138"/>
    <x v="138"/>
    <x v="138"/>
    <x v="138"/>
    <s v="High Performer"/>
    <s v="Eligible for Promotion"/>
  </r>
  <r>
    <n v="597"/>
    <x v="2"/>
    <x v="3"/>
    <x v="3"/>
    <s v="elizabeth.miller@company.com"/>
    <s v="214-191-6574"/>
    <x v="139"/>
    <x v="139"/>
    <x v="139"/>
    <x v="139"/>
    <x v="139"/>
    <s v="High Performer"/>
    <s v="Eligible for Promotion"/>
  </r>
  <r>
    <n v="578"/>
    <x v="40"/>
    <x v="6"/>
    <x v="2"/>
    <s v="jennifer_wright@company.com"/>
    <s v="555-794-3177"/>
    <x v="140"/>
    <x v="140"/>
    <x v="84"/>
    <x v="140"/>
    <x v="140"/>
    <s v="High Performer"/>
    <s v="Eligible for Promotion"/>
  </r>
  <r>
    <n v="188"/>
    <x v="15"/>
    <x v="1"/>
    <x v="1"/>
    <s v="barbara.o’connel@company.com"/>
    <s v="144-750-7338"/>
    <x v="141"/>
    <x v="141"/>
    <x v="140"/>
    <x v="141"/>
    <x v="141"/>
    <s v="High Performer"/>
    <s v="Eligible for Promotion"/>
  </r>
  <r>
    <n v="461"/>
    <x v="102"/>
    <x v="3"/>
    <x v="1"/>
    <s v="linda.davis@company.com"/>
    <s v="555-624-7462"/>
    <x v="142"/>
    <x v="142"/>
    <x v="141"/>
    <x v="142"/>
    <x v="142"/>
    <s v="High Performer"/>
    <s v="Eligible for Promotion"/>
  </r>
  <r>
    <n v="514"/>
    <x v="103"/>
    <x v="3"/>
    <x v="2"/>
    <s v="john.wright@company.com"/>
    <s v="615-970-9229"/>
    <x v="143"/>
    <x v="143"/>
    <x v="142"/>
    <x v="143"/>
    <x v="143"/>
    <s v="High Performer"/>
    <s v="Eligible for Promotion"/>
  </r>
  <r>
    <n v="122"/>
    <x v="104"/>
    <x v="0"/>
    <x v="3"/>
    <s v="robert_o’connel@company.com"/>
    <s v="555-756-9346"/>
    <x v="144"/>
    <x v="144"/>
    <x v="143"/>
    <x v="144"/>
    <x v="144"/>
    <s v="High Performer"/>
    <s v="Eligible for Promotion"/>
  </r>
  <r>
    <n v="448"/>
    <x v="105"/>
    <x v="1"/>
    <x v="2"/>
    <s v="anna.lopez@company.com"/>
    <s v="555-957-8581"/>
    <x v="145"/>
    <x v="145"/>
    <x v="144"/>
    <x v="145"/>
    <x v="145"/>
    <s v="High Performer"/>
    <s v="Eligible for Promotion"/>
  </r>
  <r>
    <n v="341"/>
    <x v="106"/>
    <x v="2"/>
    <x v="2"/>
    <s v="john miller@company.com"/>
    <s v="941-056-9618"/>
    <x v="146"/>
    <x v="146"/>
    <x v="145"/>
    <x v="146"/>
    <x v="146"/>
    <s v="High Performer"/>
    <s v="Eligible for Promotion"/>
  </r>
  <r>
    <n v="523"/>
    <x v="107"/>
    <x v="3"/>
    <x v="1"/>
    <s v="john.thomas@company.com"/>
    <s v="555-890-3692"/>
    <x v="147"/>
    <x v="147"/>
    <x v="146"/>
    <x v="147"/>
    <x v="147"/>
    <s v="High Performer"/>
    <s v="Eligible for Promotion"/>
  </r>
  <r>
    <n v="109"/>
    <x v="108"/>
    <x v="0"/>
    <x v="2"/>
    <s v="jennifero’connel@company.com"/>
    <s v="555-640-7932"/>
    <x v="148"/>
    <x v="148"/>
    <x v="147"/>
    <x v="148"/>
    <x v="148"/>
    <s v="High Performer"/>
    <s v="Eligible for Promotion"/>
  </r>
  <r>
    <n v="401"/>
    <x v="109"/>
    <x v="1"/>
    <x v="1"/>
    <s v="jennifer taylor@company.com"/>
    <s v="102-823-0917"/>
    <x v="149"/>
    <x v="149"/>
    <x v="148"/>
    <x v="149"/>
    <x v="149"/>
    <s v="High Performer"/>
    <s v="Eligible for Promotion"/>
  </r>
  <r>
    <n v="554"/>
    <x v="110"/>
    <x v="4"/>
    <x v="2"/>
    <s v="william.johnson@company.com"/>
    <s v="289-153-8480"/>
    <x v="150"/>
    <x v="150"/>
    <x v="149"/>
    <x v="150"/>
    <x v="150"/>
    <s v="High Performer"/>
    <s v="Eligible for Promotion"/>
  </r>
  <r>
    <n v="404"/>
    <x v="111"/>
    <x v="1"/>
    <x v="2"/>
    <s v="michael.anderson@company.com"/>
    <s v="555-189-8924"/>
    <x v="151"/>
    <x v="151"/>
    <x v="66"/>
    <x v="151"/>
    <x v="151"/>
    <s v="High Performer"/>
    <s v="Eligible for Promotion"/>
  </r>
  <r>
    <n v="198"/>
    <x v="112"/>
    <x v="3"/>
    <x v="2"/>
    <s v="david_garcia@company.com"/>
    <s v="454-631-5653"/>
    <x v="152"/>
    <x v="152"/>
    <x v="150"/>
    <x v="152"/>
    <x v="152"/>
    <s v="High Performer"/>
    <s v="Eligible for Promotion"/>
  </r>
  <r>
    <n v="116"/>
    <x v="113"/>
    <x v="3"/>
    <x v="3"/>
    <s v="robert.wilson@company.com"/>
    <s v="555-175-9808"/>
    <x v="153"/>
    <x v="153"/>
    <x v="151"/>
    <x v="153"/>
    <x v="153"/>
    <s v="High Performer"/>
    <s v="Eligible for Promotion"/>
  </r>
  <r>
    <n v="532"/>
    <x v="114"/>
    <x v="1"/>
    <x v="0"/>
    <s v="jennifer_garcia@company.com"/>
    <s v="555-616-8551"/>
    <x v="154"/>
    <x v="154"/>
    <x v="152"/>
    <x v="154"/>
    <x v="154"/>
    <s v="High Performer"/>
    <s v="Eligible for Promotion"/>
  </r>
  <r>
    <n v="414"/>
    <x v="115"/>
    <x v="2"/>
    <x v="1"/>
    <s v="susan.wilson@company.com"/>
    <s v="451-088-6562"/>
    <x v="155"/>
    <x v="155"/>
    <x v="153"/>
    <x v="155"/>
    <x v="155"/>
    <s v="High Performer"/>
    <s v="Eligible for Promotion"/>
  </r>
  <r>
    <n v="310"/>
    <x v="116"/>
    <x v="3"/>
    <x v="1"/>
    <s v="susan taylor@company.com"/>
    <s v="362-759-4787"/>
    <x v="156"/>
    <x v="156"/>
    <x v="154"/>
    <x v="156"/>
    <x v="156"/>
    <s v="High Performer"/>
    <s v="Eligible for Promotion"/>
  </r>
  <r>
    <n v="152"/>
    <x v="27"/>
    <x v="3"/>
    <x v="3"/>
    <s v="jennifer.adams@company.com"/>
    <s v="555-115-3361"/>
    <x v="157"/>
    <x v="157"/>
    <x v="155"/>
    <x v="157"/>
    <x v="157"/>
    <s v="High Performer"/>
    <s v="Eligible for Promotion"/>
  </r>
  <r>
    <n v="405"/>
    <x v="109"/>
    <x v="4"/>
    <x v="2"/>
    <s v="jennifer taylor@company.com"/>
    <s v="555-338-5759"/>
    <x v="158"/>
    <x v="158"/>
    <x v="156"/>
    <x v="158"/>
    <x v="158"/>
    <s v="High Performer"/>
    <s v="Eligible for Promotion"/>
  </r>
  <r>
    <n v="183"/>
    <x v="117"/>
    <x v="5"/>
    <x v="0"/>
    <s v="lindamiller@company.com"/>
    <s v="555-896-7256"/>
    <x v="159"/>
    <x v="159"/>
    <x v="157"/>
    <x v="159"/>
    <x v="159"/>
    <s v="High Performer"/>
    <s v="Eligible for Promotion"/>
  </r>
  <r>
    <n v="564"/>
    <x v="118"/>
    <x v="0"/>
    <x v="1"/>
    <s v="richard_martinez@company.com"/>
    <s v="260-932-4972"/>
    <x v="160"/>
    <x v="160"/>
    <x v="158"/>
    <x v="160"/>
    <x v="160"/>
    <s v="High Performer"/>
    <s v="Eligible for Promotion"/>
  </r>
  <r>
    <n v="154"/>
    <x v="119"/>
    <x v="5"/>
    <x v="3"/>
    <s v="michael_adams@company.com"/>
    <s v="555-274-3868"/>
    <x v="161"/>
    <x v="161"/>
    <x v="159"/>
    <x v="161"/>
    <x v="161"/>
    <s v="High Performer"/>
    <s v="Eligible for Promotion"/>
  </r>
  <r>
    <n v="327"/>
    <x v="50"/>
    <x v="6"/>
    <x v="3"/>
    <s v="linda.adams@company.com"/>
    <s v="555-915-2857"/>
    <x v="162"/>
    <x v="162"/>
    <x v="160"/>
    <x v="162"/>
    <x v="162"/>
    <s v="High Performer"/>
    <s v="Eligible for Promotion"/>
  </r>
  <r>
    <n v="191"/>
    <x v="21"/>
    <x v="4"/>
    <x v="0"/>
    <s v="barbara.anderson@company.com"/>
    <s v="555-447-4060"/>
    <x v="163"/>
    <x v="163"/>
    <x v="161"/>
    <x v="163"/>
    <x v="163"/>
    <s v="High Performer"/>
    <s v="Eligible for Promotion"/>
  </r>
  <r>
    <n v="120"/>
    <x v="120"/>
    <x v="6"/>
    <x v="1"/>
    <s v="james_miller@company.com"/>
    <s v="555-898-7658"/>
    <x v="164"/>
    <x v="164"/>
    <x v="162"/>
    <x v="164"/>
    <x v="164"/>
    <s v="High Performer"/>
    <s v="Eligible for Promotion"/>
  </r>
  <r>
    <n v="457"/>
    <x v="121"/>
    <x v="5"/>
    <x v="2"/>
    <s v="richard_thomas@company.com"/>
    <s v="332-595-7093"/>
    <x v="165"/>
    <x v="165"/>
    <x v="163"/>
    <x v="165"/>
    <x v="165"/>
    <s v="High Performer"/>
    <s v="Eligible for Promotion"/>
  </r>
  <r>
    <n v="195"/>
    <x v="122"/>
    <x v="3"/>
    <x v="1"/>
    <s v="patriciataylor@company.com"/>
    <s v="404-745-3184"/>
    <x v="166"/>
    <x v="166"/>
    <x v="164"/>
    <x v="166"/>
    <x v="166"/>
    <s v="High Performer"/>
    <s v="Eligible for Promotion"/>
  </r>
  <r>
    <n v="335"/>
    <x v="122"/>
    <x v="1"/>
    <x v="1"/>
    <s v="patriciataylor@company.com"/>
    <s v="555-761-2343"/>
    <x v="167"/>
    <x v="167"/>
    <x v="165"/>
    <x v="167"/>
    <x v="167"/>
    <s v="High Performer"/>
    <s v="Eligible for Promotion"/>
  </r>
  <r>
    <n v="397"/>
    <x v="88"/>
    <x v="4"/>
    <x v="0"/>
    <s v="james_garcia@company.com"/>
    <s v="555-806-9470"/>
    <x v="168"/>
    <x v="168"/>
    <x v="166"/>
    <x v="168"/>
    <x v="168"/>
    <s v="High Performer"/>
    <s v="Eligible for Promotion"/>
  </r>
  <r>
    <n v="594"/>
    <x v="44"/>
    <x v="4"/>
    <x v="0"/>
    <s v="peter.rodriguez@company.com"/>
    <s v="555-829-3345"/>
    <x v="169"/>
    <x v="169"/>
    <x v="167"/>
    <x v="169"/>
    <x v="169"/>
    <s v="High Performer"/>
    <s v="Eligible for Promotion"/>
  </r>
  <r>
    <n v="393"/>
    <x v="123"/>
    <x v="0"/>
    <x v="2"/>
    <s v="anna.martinez@company.com"/>
    <s v="523-521-5970"/>
    <x v="170"/>
    <x v="170"/>
    <x v="168"/>
    <x v="170"/>
    <x v="170"/>
    <s v="High Performer"/>
    <s v="Eligible for Promotion"/>
  </r>
  <r>
    <n v="171"/>
    <x v="124"/>
    <x v="5"/>
    <x v="2"/>
    <s v="elizabeth_thomas@company.com"/>
    <s v="555-153-3549"/>
    <x v="171"/>
    <x v="171"/>
    <x v="169"/>
    <x v="171"/>
    <x v="171"/>
    <s v="High Performer"/>
    <s v="Eligible for Promotion"/>
  </r>
  <r>
    <n v="560"/>
    <x v="63"/>
    <x v="0"/>
    <x v="1"/>
    <s v="peter_brown@company.com"/>
    <s v="555-736-6511"/>
    <x v="172"/>
    <x v="172"/>
    <x v="170"/>
    <x v="172"/>
    <x v="172"/>
    <s v="High Performer"/>
    <s v="Eligible for Promotion"/>
  </r>
  <r>
    <n v="304"/>
    <x v="76"/>
    <x v="0"/>
    <x v="1"/>
    <s v="annataylor@company.com"/>
    <s v="748-539-7609"/>
    <x v="173"/>
    <x v="173"/>
    <x v="171"/>
    <x v="173"/>
    <x v="173"/>
    <s v="High Performer"/>
    <s v="Eligible for Promotion"/>
  </r>
  <r>
    <n v="444"/>
    <x v="85"/>
    <x v="2"/>
    <x v="2"/>
    <s v="mary.johnson@company.com"/>
    <s v="555-155-6966"/>
    <x v="174"/>
    <x v="174"/>
    <x v="172"/>
    <x v="174"/>
    <x v="174"/>
    <s v="High Performer"/>
    <s v="Eligible for Promotion"/>
  </r>
  <r>
    <n v="586"/>
    <x v="37"/>
    <x v="6"/>
    <x v="1"/>
    <s v="jennifer.rodriguez@company.com"/>
    <s v="853-352-4970"/>
    <x v="175"/>
    <x v="175"/>
    <x v="173"/>
    <x v="175"/>
    <x v="175"/>
    <s v="High Performer"/>
    <s v="Eligible for Promotion"/>
  </r>
  <r>
    <n v="495"/>
    <x v="68"/>
    <x v="3"/>
    <x v="3"/>
    <s v="john_wilson@company.com"/>
    <s v="555-967-7722"/>
    <x v="176"/>
    <x v="176"/>
    <x v="174"/>
    <x v="176"/>
    <x v="176"/>
    <s v="High Performer"/>
    <s v="Eligible for Promotion"/>
  </r>
  <r>
    <n v="230"/>
    <x v="109"/>
    <x v="2"/>
    <x v="1"/>
    <s v="jennifer taylor@company.com"/>
    <s v="555-648-5697"/>
    <x v="177"/>
    <x v="177"/>
    <x v="175"/>
    <x v="177"/>
    <x v="177"/>
    <s v="High Performer"/>
    <s v="Eligible for Promotion"/>
  </r>
  <r>
    <n v="508"/>
    <x v="125"/>
    <x v="4"/>
    <x v="0"/>
    <s v="james.taylor@company.com"/>
    <s v="555-374-7931"/>
    <x v="178"/>
    <x v="178"/>
    <x v="176"/>
    <x v="178"/>
    <x v="178"/>
    <s v="High Performer"/>
    <s v="Eligible for Promotion"/>
  </r>
  <r>
    <n v="510"/>
    <x v="126"/>
    <x v="1"/>
    <x v="1"/>
    <s v="peter adams@company.com"/>
    <s v="555-699-2339"/>
    <x v="179"/>
    <x v="179"/>
    <x v="177"/>
    <x v="179"/>
    <x v="179"/>
    <s v="High Performer"/>
    <s v="Eligible for Promotion"/>
  </r>
  <r>
    <n v="204"/>
    <x v="127"/>
    <x v="2"/>
    <x v="0"/>
    <s v="susan_brown@company.com"/>
    <s v="555-913-6555"/>
    <x v="180"/>
    <x v="180"/>
    <x v="178"/>
    <x v="180"/>
    <x v="180"/>
    <s v="High Performer"/>
    <s v="Eligible for Promotion"/>
  </r>
  <r>
    <n v="189"/>
    <x v="128"/>
    <x v="2"/>
    <x v="3"/>
    <s v="michael brown@company.com"/>
    <s v="555-446-3868"/>
    <x v="181"/>
    <x v="181"/>
    <x v="179"/>
    <x v="181"/>
    <x v="181"/>
    <s v="High Performer"/>
    <s v="Eligible for Promotion"/>
  </r>
  <r>
    <n v="338"/>
    <x v="39"/>
    <x v="4"/>
    <x v="0"/>
    <s v="barbara.wilson@company.com"/>
    <s v="555-954-5314"/>
    <x v="182"/>
    <x v="182"/>
    <x v="180"/>
    <x v="182"/>
    <x v="182"/>
    <s v="High Performer"/>
    <s v="Eligible for Promotion"/>
  </r>
  <r>
    <n v="201"/>
    <x v="129"/>
    <x v="3"/>
    <x v="0"/>
    <s v="susan.martinez@company.com"/>
    <s v="353-244-2586"/>
    <x v="183"/>
    <x v="183"/>
    <x v="181"/>
    <x v="183"/>
    <x v="183"/>
    <s v="High Performer"/>
    <s v="Eligible for Promotion"/>
  </r>
  <r>
    <n v="266"/>
    <x v="130"/>
    <x v="1"/>
    <x v="3"/>
    <s v="jennifer.thomas@company.com"/>
    <s v="555-611-3734"/>
    <x v="184"/>
    <x v="184"/>
    <x v="182"/>
    <x v="184"/>
    <x v="184"/>
    <s v="High Performer"/>
    <s v="Eligible for Promotion"/>
  </r>
  <r>
    <n v="544"/>
    <x v="131"/>
    <x v="1"/>
    <x v="2"/>
    <s v="jennifer.lopez@company.com"/>
    <s v="467-425-4156"/>
    <x v="185"/>
    <x v="185"/>
    <x v="183"/>
    <x v="185"/>
    <x v="185"/>
    <s v="High Performer"/>
    <s v="Eligible for Promotion"/>
  </r>
  <r>
    <n v="227"/>
    <x v="22"/>
    <x v="4"/>
    <x v="1"/>
    <s v="barbara.taylor@company.com"/>
    <s v="555-580-6246"/>
    <x v="186"/>
    <x v="186"/>
    <x v="184"/>
    <x v="186"/>
    <x v="186"/>
    <s v="High Performer"/>
    <s v="Eligible for Promotion"/>
  </r>
  <r>
    <n v="409"/>
    <x v="8"/>
    <x v="6"/>
    <x v="1"/>
    <s v="patricia_martinez@company.com"/>
    <s v="555-523-2422"/>
    <x v="187"/>
    <x v="187"/>
    <x v="185"/>
    <x v="187"/>
    <x v="187"/>
    <s v="High Performer"/>
    <s v="Eligible for Promotion"/>
  </r>
  <r>
    <n v="311"/>
    <x v="111"/>
    <x v="6"/>
    <x v="1"/>
    <s v="michael.anderson@company.com"/>
    <s v="913-693-4170"/>
    <x v="188"/>
    <x v="188"/>
    <x v="186"/>
    <x v="188"/>
    <x v="188"/>
    <s v="High Performer"/>
    <s v="Eligible for Promotion"/>
  </r>
  <r>
    <n v="421"/>
    <x v="11"/>
    <x v="0"/>
    <x v="1"/>
    <s v="susangarcia@company.com"/>
    <s v="740-425-7271"/>
    <x v="189"/>
    <x v="189"/>
    <x v="187"/>
    <x v="189"/>
    <x v="189"/>
    <s v="High Performer"/>
    <s v="Eligible for Promotion"/>
  </r>
  <r>
    <n v="548"/>
    <x v="98"/>
    <x v="6"/>
    <x v="0"/>
    <s v="richard wright@company.com"/>
    <s v="555-227-2401"/>
    <x v="190"/>
    <x v="190"/>
    <x v="188"/>
    <x v="190"/>
    <x v="190"/>
    <s v="High Performer"/>
    <s v="Eligible for Promotion"/>
  </r>
  <r>
    <n v="395"/>
    <x v="94"/>
    <x v="4"/>
    <x v="2"/>
    <s v="john.davis@company.com"/>
    <s v="555-987-9027"/>
    <x v="18"/>
    <x v="191"/>
    <x v="189"/>
    <x v="191"/>
    <x v="191"/>
    <s v="High Performer"/>
    <s v="Eligible for Promotion"/>
  </r>
  <r>
    <n v="192"/>
    <x v="8"/>
    <x v="2"/>
    <x v="1"/>
    <s v="patricia_martinez@company.com"/>
    <s v="555-270-8272"/>
    <x v="191"/>
    <x v="192"/>
    <x v="190"/>
    <x v="192"/>
    <x v="192"/>
    <s v="High Performer"/>
    <s v="Eligible for Promotion"/>
  </r>
  <r>
    <n v="299"/>
    <x v="132"/>
    <x v="6"/>
    <x v="1"/>
    <s v="patricia.garcia@company.com"/>
    <s v="180-900-0407"/>
    <x v="192"/>
    <x v="193"/>
    <x v="191"/>
    <x v="193"/>
    <x v="193"/>
    <s v="High Performer"/>
    <s v="Eligible for Promotion"/>
  </r>
  <r>
    <n v="507"/>
    <x v="133"/>
    <x v="4"/>
    <x v="0"/>
    <s v="james_lopez@company.com"/>
    <s v="555-920-8083"/>
    <x v="193"/>
    <x v="194"/>
    <x v="192"/>
    <x v="194"/>
    <x v="194"/>
    <s v="High Performer"/>
    <s v="Eligible for Promotion"/>
  </r>
  <r>
    <n v="277"/>
    <x v="68"/>
    <x v="0"/>
    <x v="3"/>
    <s v="john.wilson@company.com"/>
    <s v="540-690-6896"/>
    <x v="194"/>
    <x v="195"/>
    <x v="193"/>
    <x v="195"/>
    <x v="195"/>
    <s v="High Performer"/>
    <s v="Eligible for Promotion"/>
  </r>
  <r>
    <n v="103"/>
    <x v="134"/>
    <x v="6"/>
    <x v="0"/>
    <s v="robert adams@company.com"/>
    <s v="555-227-7201"/>
    <x v="195"/>
    <x v="196"/>
    <x v="194"/>
    <x v="196"/>
    <x v="196"/>
    <s v="High Performer"/>
    <s v="Eligible for Promotion"/>
  </r>
  <r>
    <n v="241"/>
    <x v="107"/>
    <x v="6"/>
    <x v="2"/>
    <s v="john.thomas@company.com"/>
    <s v="555-938-7703"/>
    <x v="196"/>
    <x v="197"/>
    <x v="195"/>
    <x v="197"/>
    <x v="197"/>
    <s v="High Performer"/>
    <s v="Eligible for Promotion"/>
  </r>
  <r>
    <n v="599"/>
    <x v="130"/>
    <x v="3"/>
    <x v="3"/>
    <s v="jenniferthomas@company.com"/>
    <s v="555-614-3022"/>
    <x v="197"/>
    <x v="198"/>
    <x v="196"/>
    <x v="198"/>
    <x v="198"/>
    <s v="High Performer"/>
    <s v="Eligible for Promotion"/>
  </r>
  <r>
    <n v="107"/>
    <x v="135"/>
    <x v="6"/>
    <x v="1"/>
    <s v="robert.smith@company.com"/>
    <s v="555-214-5808"/>
    <x v="198"/>
    <x v="199"/>
    <x v="197"/>
    <x v="199"/>
    <x v="199"/>
    <s v="High Performer"/>
    <s v="Eligible for Promotion"/>
  </r>
  <r>
    <n v="254"/>
    <x v="87"/>
    <x v="3"/>
    <x v="3"/>
    <s v="davidmiller@company.com"/>
    <s v="555-879-7434"/>
    <x v="199"/>
    <x v="200"/>
    <x v="198"/>
    <x v="200"/>
    <x v="200"/>
    <s v="High Performer"/>
    <s v="Eligible for Promotion"/>
  </r>
  <r>
    <n v="559"/>
    <x v="109"/>
    <x v="5"/>
    <x v="0"/>
    <s v="jennifer.taylor@company.com"/>
    <s v="555-505-4581"/>
    <x v="200"/>
    <x v="201"/>
    <x v="199"/>
    <x v="201"/>
    <x v="201"/>
    <s v="High Performer"/>
    <s v="Eligible for Promotion"/>
  </r>
  <r>
    <n v="252"/>
    <x v="70"/>
    <x v="4"/>
    <x v="3"/>
    <s v="patricia_adams@company.com"/>
    <s v="283-896-3536"/>
    <x v="201"/>
    <x v="202"/>
    <x v="200"/>
    <x v="202"/>
    <x v="202"/>
    <s v="High Performer"/>
    <s v="Eligible for Promotion"/>
  </r>
  <r>
    <n v="268"/>
    <x v="136"/>
    <x v="0"/>
    <x v="1"/>
    <s v="anna.miller@company.com"/>
    <s v="986-389-6090"/>
    <x v="202"/>
    <x v="203"/>
    <x v="201"/>
    <x v="203"/>
    <x v="203"/>
    <s v="High Performer"/>
    <s v="Eligible for Promotion"/>
  </r>
  <r>
    <n v="415"/>
    <x v="5"/>
    <x v="0"/>
    <x v="0"/>
    <s v="david.o’connel@company.com"/>
    <s v="555-581-4796"/>
    <x v="203"/>
    <x v="204"/>
    <x v="202"/>
    <x v="204"/>
    <x v="204"/>
    <s v="High Performer"/>
    <s v="Eligible for Promotion"/>
  </r>
  <r>
    <n v="406"/>
    <x v="137"/>
    <x v="6"/>
    <x v="3"/>
    <s v="john_johnson@company.com"/>
    <s v="555-885-1100"/>
    <x v="204"/>
    <x v="205"/>
    <x v="203"/>
    <x v="205"/>
    <x v="205"/>
    <s v="High Performer"/>
    <s v="Eligible for Promotion"/>
  </r>
  <r>
    <n v="274"/>
    <x v="75"/>
    <x v="0"/>
    <x v="2"/>
    <s v="johnadams@company.com"/>
    <s v="555-932-2228"/>
    <x v="205"/>
    <x v="206"/>
    <x v="204"/>
    <x v="206"/>
    <x v="206"/>
    <s v="High Performer"/>
    <s v="Eligible for Promotion"/>
  </r>
  <r>
    <n v="503"/>
    <x v="3"/>
    <x v="4"/>
    <x v="1"/>
    <s v="elizabeth.wright@company.com"/>
    <s v="555-966-3425"/>
    <x v="206"/>
    <x v="207"/>
    <x v="205"/>
    <x v="207"/>
    <x v="207"/>
    <s v="High Performer"/>
    <s v="Eligible for Promotion"/>
  </r>
  <r>
    <n v="558"/>
    <x v="138"/>
    <x v="6"/>
    <x v="1"/>
    <s v="jennifer.johnson@company.com"/>
    <s v="271-620-7358"/>
    <x v="207"/>
    <x v="208"/>
    <x v="206"/>
    <x v="208"/>
    <x v="208"/>
    <s v="High Performer"/>
    <s v="Eligible for Promotion"/>
  </r>
  <r>
    <n v="479"/>
    <x v="139"/>
    <x v="4"/>
    <x v="0"/>
    <s v="michael.wilson@company.com"/>
    <s v="555-603-8056"/>
    <x v="208"/>
    <x v="209"/>
    <x v="207"/>
    <x v="209"/>
    <x v="209"/>
    <s v="High Performer"/>
    <s v="Eligible for Promotion"/>
  </r>
  <r>
    <n v="153"/>
    <x v="139"/>
    <x v="5"/>
    <x v="0"/>
    <s v="michael wilson@company.com"/>
    <s v="340-746-5708"/>
    <x v="209"/>
    <x v="210"/>
    <x v="208"/>
    <x v="210"/>
    <x v="210"/>
    <s v="High Performer"/>
    <s v="Eligible for Promotion"/>
  </r>
  <r>
    <n v="346"/>
    <x v="110"/>
    <x v="6"/>
    <x v="3"/>
    <s v="william.johnson@company.com"/>
    <s v="555-533-6990"/>
    <x v="210"/>
    <x v="211"/>
    <x v="209"/>
    <x v="211"/>
    <x v="211"/>
    <s v="High Performer"/>
    <s v="Eligible for Promotion"/>
  </r>
  <r>
    <n v="600"/>
    <x v="100"/>
    <x v="0"/>
    <x v="2"/>
    <s v="david.johnson@company.com"/>
    <s v="555-844-7419"/>
    <x v="211"/>
    <x v="212"/>
    <x v="210"/>
    <x v="212"/>
    <x v="212"/>
    <s v="High Performer"/>
    <s v="Eligible for Promotion"/>
  </r>
  <r>
    <n v="330"/>
    <x v="80"/>
    <x v="0"/>
    <x v="1"/>
    <s v="john.o’connel@company.com"/>
    <s v="555-721-2417"/>
    <x v="212"/>
    <x v="213"/>
    <x v="211"/>
    <x v="213"/>
    <x v="213"/>
    <s v="High Performer"/>
    <s v="Eligible for Promotion"/>
  </r>
  <r>
    <n v="115"/>
    <x v="140"/>
    <x v="2"/>
    <x v="1"/>
    <s v="peter.lopez@company.com"/>
    <s v="555-692-1651"/>
    <x v="213"/>
    <x v="214"/>
    <x v="212"/>
    <x v="214"/>
    <x v="214"/>
    <s v="High Performer"/>
    <s v="Eligible for Promotion"/>
  </r>
  <r>
    <n v="525"/>
    <x v="45"/>
    <x v="0"/>
    <x v="0"/>
    <s v="richardrodriguez@company.com"/>
    <s v="555-408-2380"/>
    <x v="214"/>
    <x v="215"/>
    <x v="213"/>
    <x v="215"/>
    <x v="215"/>
    <s v="High Performer"/>
    <s v="Eligible for Promotion"/>
  </r>
  <r>
    <n v="423"/>
    <x v="141"/>
    <x v="4"/>
    <x v="0"/>
    <s v="elizabeth lopez@company.com"/>
    <s v="493-463-4698"/>
    <x v="215"/>
    <x v="216"/>
    <x v="214"/>
    <x v="216"/>
    <x v="216"/>
    <s v="High Performer"/>
    <s v="Eligible for Promotion"/>
  </r>
  <r>
    <n v="123"/>
    <x v="3"/>
    <x v="4"/>
    <x v="2"/>
    <s v="elizabeth_wright@company.com"/>
    <s v="555-803-4228"/>
    <x v="216"/>
    <x v="217"/>
    <x v="134"/>
    <x v="217"/>
    <x v="217"/>
    <s v="High Performer"/>
    <s v="Eligible for Promotion"/>
  </r>
  <r>
    <n v="549"/>
    <x v="142"/>
    <x v="1"/>
    <x v="1"/>
    <s v="susan_adams@company.com"/>
    <s v="555-970-7249"/>
    <x v="217"/>
    <x v="218"/>
    <x v="215"/>
    <x v="218"/>
    <x v="218"/>
    <s v="High Performer"/>
    <s v="Eligible for Promotion"/>
  </r>
  <r>
    <n v="318"/>
    <x v="143"/>
    <x v="1"/>
    <x v="2"/>
    <s v="susandavis@company.com"/>
    <s v="555-210-7790"/>
    <x v="218"/>
    <x v="219"/>
    <x v="216"/>
    <x v="219"/>
    <x v="219"/>
    <s v="High Performer"/>
    <s v="Eligible for Promotion"/>
  </r>
  <r>
    <n v="291"/>
    <x v="47"/>
    <x v="1"/>
    <x v="0"/>
    <s v="peter wilson@company.com"/>
    <s v="632-569-1202"/>
    <x v="219"/>
    <x v="220"/>
    <x v="217"/>
    <x v="220"/>
    <x v="220"/>
    <s v="High Performer"/>
    <s v="Eligible for Promotion"/>
  </r>
  <r>
    <n v="217"/>
    <x v="45"/>
    <x v="2"/>
    <x v="1"/>
    <s v="richard.rodriguez@company.com"/>
    <s v="617-307-9792"/>
    <x v="220"/>
    <x v="221"/>
    <x v="218"/>
    <x v="221"/>
    <x v="221"/>
    <s v="High Performer"/>
    <s v="Eligible for Promotion"/>
  </r>
  <r>
    <n v="257"/>
    <x v="112"/>
    <x v="3"/>
    <x v="3"/>
    <s v="david.garcia@company.com"/>
    <s v="356-184-7092"/>
    <x v="221"/>
    <x v="222"/>
    <x v="219"/>
    <x v="222"/>
    <x v="222"/>
    <s v="High Performer"/>
    <s v="Eligible for Promotion"/>
  </r>
  <r>
    <n v="392"/>
    <x v="100"/>
    <x v="6"/>
    <x v="2"/>
    <s v="david johnson@company.com"/>
    <s v="555-805-9582"/>
    <x v="222"/>
    <x v="223"/>
    <x v="220"/>
    <x v="223"/>
    <x v="223"/>
    <s v="High Performer"/>
    <s v="Eligible for Promotion"/>
  </r>
  <r>
    <n v="193"/>
    <x v="47"/>
    <x v="5"/>
    <x v="2"/>
    <s v="peter.wilson@company.com"/>
    <s v="135-229-2101"/>
    <x v="223"/>
    <x v="224"/>
    <x v="221"/>
    <x v="224"/>
    <x v="224"/>
    <s v="High Performer"/>
    <s v="Eligible for Promotion"/>
  </r>
  <r>
    <n v="111"/>
    <x v="102"/>
    <x v="6"/>
    <x v="0"/>
    <s v="lindadavis@company.com"/>
    <s v="555-652-3167"/>
    <x v="224"/>
    <x v="225"/>
    <x v="222"/>
    <x v="225"/>
    <x v="225"/>
    <s v="High Performer"/>
    <s v="Eligible for Promotion"/>
  </r>
  <r>
    <n v="570"/>
    <x v="144"/>
    <x v="5"/>
    <x v="3"/>
    <s v="patricia.thomas@company.com"/>
    <s v="555-568-7302"/>
    <x v="225"/>
    <x v="226"/>
    <x v="223"/>
    <x v="226"/>
    <x v="226"/>
    <s v="High Performer"/>
    <s v="Eligible for Promotion"/>
  </r>
  <r>
    <n v="538"/>
    <x v="145"/>
    <x v="4"/>
    <x v="2"/>
    <s v="jennifer.smith@company.com"/>
    <s v="352-881-3057"/>
    <x v="226"/>
    <x v="227"/>
    <x v="224"/>
    <x v="227"/>
    <x v="227"/>
    <s v="High Performer"/>
    <s v="Eligible for Promotion"/>
  </r>
  <r>
    <n v="253"/>
    <x v="146"/>
    <x v="1"/>
    <x v="3"/>
    <s v="mary rodriguez@company.com"/>
    <s v="555-978-9428"/>
    <x v="227"/>
    <x v="228"/>
    <x v="225"/>
    <x v="228"/>
    <x v="228"/>
    <s v="High Performer"/>
    <s v="Eligible for Promotion"/>
  </r>
  <r>
    <n v="513"/>
    <x v="137"/>
    <x v="2"/>
    <x v="1"/>
    <s v="john.johnson@company.com"/>
    <s v="555-765-4961"/>
    <x v="228"/>
    <x v="229"/>
    <x v="226"/>
    <x v="229"/>
    <x v="229"/>
    <s v="High Performer"/>
    <s v="Eligible for Promotion"/>
  </r>
  <r>
    <n v="134"/>
    <x v="110"/>
    <x v="2"/>
    <x v="2"/>
    <s v="william.johnson@company.com"/>
    <s v="259-158-9823"/>
    <x v="229"/>
    <x v="230"/>
    <x v="227"/>
    <x v="230"/>
    <x v="230"/>
    <s v="High Performer"/>
    <s v="Eligible for Promotion"/>
  </r>
  <r>
    <n v="306"/>
    <x v="111"/>
    <x v="6"/>
    <x v="2"/>
    <s v="michael_anderson@company.com"/>
    <s v="868-292-3701"/>
    <x v="230"/>
    <x v="231"/>
    <x v="228"/>
    <x v="231"/>
    <x v="231"/>
    <s v="High Performer"/>
    <s v="Eligible for Promotion"/>
  </r>
  <r>
    <n v="226"/>
    <x v="125"/>
    <x v="3"/>
    <x v="3"/>
    <s v="james_taylor@company.com"/>
    <s v="555-348-4350"/>
    <x v="231"/>
    <x v="232"/>
    <x v="229"/>
    <x v="232"/>
    <x v="232"/>
    <s v="High Performer"/>
    <s v="Eligible for Promotion"/>
  </r>
  <r>
    <n v="129"/>
    <x v="147"/>
    <x v="3"/>
    <x v="2"/>
    <s v="michaelo’connel@company.com"/>
    <s v="555-492-3503"/>
    <x v="232"/>
    <x v="233"/>
    <x v="230"/>
    <x v="233"/>
    <x v="233"/>
    <s v="High Performer"/>
    <s v="Eligible for Promotion"/>
  </r>
  <r>
    <n v="369"/>
    <x v="148"/>
    <x v="5"/>
    <x v="1"/>
    <s v="richardadams@company.com"/>
    <s v="894-501-2169"/>
    <x v="233"/>
    <x v="234"/>
    <x v="231"/>
    <x v="234"/>
    <x v="234"/>
    <s v="High Performer"/>
    <s v="Eligible for Promotion"/>
  </r>
  <r>
    <n v="572"/>
    <x v="149"/>
    <x v="2"/>
    <x v="1"/>
    <s v="mary.thomas@company.com"/>
    <s v="555-811-8567"/>
    <x v="234"/>
    <x v="235"/>
    <x v="232"/>
    <x v="235"/>
    <x v="235"/>
    <s v="High Performer"/>
    <s v="Eligible for Promotion"/>
  </r>
  <r>
    <n v="223"/>
    <x v="97"/>
    <x v="5"/>
    <x v="1"/>
    <s v="elizabeth garcia@company.com"/>
    <s v="817-836-1487"/>
    <x v="235"/>
    <x v="236"/>
    <x v="233"/>
    <x v="236"/>
    <x v="236"/>
    <s v="High Performer"/>
    <s v="Eligible for Promotion"/>
  </r>
  <r>
    <n v="273"/>
    <x v="70"/>
    <x v="3"/>
    <x v="3"/>
    <s v="patriciaadams@company.com"/>
    <s v="555-366-3848"/>
    <x v="236"/>
    <x v="237"/>
    <x v="234"/>
    <x v="237"/>
    <x v="237"/>
    <s v="High Performer"/>
    <s v="Eligible for Promotion"/>
  </r>
  <r>
    <n v="320"/>
    <x v="41"/>
    <x v="5"/>
    <x v="0"/>
    <s v="williammartinez@company.com"/>
    <s v="716-816-9393"/>
    <x v="237"/>
    <x v="238"/>
    <x v="235"/>
    <x v="238"/>
    <x v="238"/>
    <s v="High Performer"/>
    <s v="Eligible for Promotion"/>
  </r>
  <r>
    <n v="287"/>
    <x v="150"/>
    <x v="2"/>
    <x v="2"/>
    <s v="jameswright@company.com"/>
    <s v="213-818-5235"/>
    <x v="238"/>
    <x v="239"/>
    <x v="236"/>
    <x v="239"/>
    <x v="239"/>
    <s v="Mid Performer"/>
    <s v="Room For Growth"/>
  </r>
  <r>
    <n v="543"/>
    <x v="151"/>
    <x v="0"/>
    <x v="3"/>
    <s v="james.o’connel@company.com"/>
    <s v="555-820-4425"/>
    <x v="239"/>
    <x v="240"/>
    <x v="237"/>
    <x v="240"/>
    <x v="240"/>
    <s v="Mid Performer"/>
    <s v="Room For Growth"/>
  </r>
  <r>
    <n v="520"/>
    <x v="152"/>
    <x v="0"/>
    <x v="1"/>
    <s v="robert.brown@company.com"/>
    <s v="918-568-2817"/>
    <x v="240"/>
    <x v="241"/>
    <x v="238"/>
    <x v="241"/>
    <x v="241"/>
    <s v="Mid Performer"/>
    <s v="Room For Growth"/>
  </r>
  <r>
    <n v="486"/>
    <x v="76"/>
    <x v="3"/>
    <x v="0"/>
    <s v="anna_taylor@company.com"/>
    <s v="928-729-8106"/>
    <x v="241"/>
    <x v="242"/>
    <x v="239"/>
    <x v="242"/>
    <x v="242"/>
    <s v="Mid Performer"/>
    <s v="Room For Growth"/>
  </r>
  <r>
    <n v="239"/>
    <x v="153"/>
    <x v="2"/>
    <x v="2"/>
    <s v="james_thomas@company.com"/>
    <s v="555-923-6399"/>
    <x v="242"/>
    <x v="243"/>
    <x v="240"/>
    <x v="243"/>
    <x v="243"/>
    <s v="Mid Performer"/>
    <s v="Room For Growth"/>
  </r>
  <r>
    <n v="577"/>
    <x v="74"/>
    <x v="5"/>
    <x v="2"/>
    <s v="susan.rodriguez@company.com"/>
    <s v="555-511-6181"/>
    <x v="243"/>
    <x v="244"/>
    <x v="241"/>
    <x v="244"/>
    <x v="244"/>
    <s v="Mid Performer"/>
    <s v="Room For Growth"/>
  </r>
  <r>
    <n v="569"/>
    <x v="153"/>
    <x v="5"/>
    <x v="2"/>
    <s v="james.thomas@company.com"/>
    <s v="555-638-6388"/>
    <x v="244"/>
    <x v="245"/>
    <x v="242"/>
    <x v="245"/>
    <x v="245"/>
    <s v="Mid Performer"/>
    <s v="Room For Growth"/>
  </r>
  <r>
    <n v="403"/>
    <x v="154"/>
    <x v="6"/>
    <x v="3"/>
    <s v="anna.thomas@company.com"/>
    <s v="555-876-8001"/>
    <x v="245"/>
    <x v="246"/>
    <x v="243"/>
    <x v="246"/>
    <x v="246"/>
    <s v="Mid Performer"/>
    <s v="Room For Growth"/>
  </r>
  <r>
    <n v="542"/>
    <x v="74"/>
    <x v="0"/>
    <x v="0"/>
    <s v="susan rodriguez@company.com"/>
    <s v="281-959-1138"/>
    <x v="246"/>
    <x v="247"/>
    <x v="244"/>
    <x v="247"/>
    <x v="247"/>
    <s v="Mid Performer"/>
    <s v="Room For Growth"/>
  </r>
  <r>
    <n v="118"/>
    <x v="12"/>
    <x v="3"/>
    <x v="3"/>
    <s v="james martinez@company.com"/>
    <s v="555-749-7939"/>
    <x v="247"/>
    <x v="248"/>
    <x v="245"/>
    <x v="248"/>
    <x v="248"/>
    <s v="Mid Performer"/>
    <s v="Room For Growth"/>
  </r>
  <r>
    <n v="255"/>
    <x v="155"/>
    <x v="5"/>
    <x v="1"/>
    <s v="richard.taylor@company.com"/>
    <s v="555-914-9756"/>
    <x v="248"/>
    <x v="249"/>
    <x v="246"/>
    <x v="249"/>
    <x v="249"/>
    <s v="Mid Performer"/>
    <s v="Room For Growth"/>
  </r>
  <r>
    <n v="491"/>
    <x v="66"/>
    <x v="1"/>
    <x v="3"/>
    <s v="mary.taylor@company.com"/>
    <s v="555-799-5036"/>
    <x v="249"/>
    <x v="250"/>
    <x v="247"/>
    <x v="250"/>
    <x v="250"/>
    <s v="Mid Performer"/>
    <s v="Room For Growth"/>
  </r>
  <r>
    <n v="269"/>
    <x v="156"/>
    <x v="5"/>
    <x v="0"/>
    <s v="lindathomas@company.com"/>
    <s v="555-254-1104"/>
    <x v="250"/>
    <x v="251"/>
    <x v="248"/>
    <x v="251"/>
    <x v="251"/>
    <s v="Mid Performer"/>
    <s v="Room For Growth"/>
  </r>
  <r>
    <n v="589"/>
    <x v="29"/>
    <x v="6"/>
    <x v="3"/>
    <s v="elizabeth.anderson@company.com"/>
    <s v="555-302-8970"/>
    <x v="251"/>
    <x v="252"/>
    <x v="249"/>
    <x v="252"/>
    <x v="252"/>
    <s v="Mid Performer"/>
    <s v="Room For Growth"/>
  </r>
  <r>
    <n v="408"/>
    <x v="78"/>
    <x v="3"/>
    <x v="3"/>
    <s v="michael_smith@company.com"/>
    <s v="461-810-5265"/>
    <x v="252"/>
    <x v="253"/>
    <x v="250"/>
    <x v="253"/>
    <x v="253"/>
    <s v="Mid Performer"/>
    <s v="Room For Growth"/>
  </r>
  <r>
    <n v="455"/>
    <x v="47"/>
    <x v="3"/>
    <x v="3"/>
    <s v="peter.wilson@company.com"/>
    <s v="555-608-3465"/>
    <x v="253"/>
    <x v="254"/>
    <x v="251"/>
    <x v="254"/>
    <x v="254"/>
    <s v="Mid Performer"/>
    <s v="Room For Growth"/>
  </r>
  <r>
    <n v="504"/>
    <x v="157"/>
    <x v="1"/>
    <x v="1"/>
    <s v="robert johnson@company.com"/>
    <s v="555-885-3958"/>
    <x v="254"/>
    <x v="255"/>
    <x v="252"/>
    <x v="255"/>
    <x v="255"/>
    <s v="Mid Performer"/>
    <s v="Room For Growth"/>
  </r>
  <r>
    <n v="108"/>
    <x v="158"/>
    <x v="3"/>
    <x v="3"/>
    <s v="patriciajohnson@company.com"/>
    <s v="555-652-9689"/>
    <x v="255"/>
    <x v="256"/>
    <x v="253"/>
    <x v="256"/>
    <x v="256"/>
    <s v="Mid Performer"/>
    <s v="Room For Growth"/>
  </r>
  <r>
    <n v="477"/>
    <x v="19"/>
    <x v="5"/>
    <x v="0"/>
    <s v="susan.wright@company.com"/>
    <s v="555-610-1438"/>
    <x v="256"/>
    <x v="257"/>
    <x v="254"/>
    <x v="257"/>
    <x v="257"/>
    <s v="Mid Performer"/>
    <s v="Room For Growth"/>
  </r>
  <r>
    <n v="352"/>
    <x v="53"/>
    <x v="6"/>
    <x v="0"/>
    <s v="michael thomas@company.com"/>
    <s v="555-169-7269"/>
    <x v="257"/>
    <x v="258"/>
    <x v="255"/>
    <x v="258"/>
    <x v="258"/>
    <s v="Mid Performer"/>
    <s v="Room For Growth"/>
  </r>
  <r>
    <n v="381"/>
    <x v="152"/>
    <x v="2"/>
    <x v="1"/>
    <s v="robert.brown@company.com"/>
    <s v="555-464-3557"/>
    <x v="258"/>
    <x v="259"/>
    <x v="256"/>
    <x v="259"/>
    <x v="259"/>
    <s v="Mid Performer"/>
    <s v="Room For Growth"/>
  </r>
  <r>
    <n v="104"/>
    <x v="159"/>
    <x v="4"/>
    <x v="3"/>
    <s v="linda.wright@company.com"/>
    <s v="266-479-6820"/>
    <x v="259"/>
    <x v="260"/>
    <x v="257"/>
    <x v="260"/>
    <x v="260"/>
    <s v="Mid Performer"/>
    <s v="Room For Growth"/>
  </r>
  <r>
    <n v="136"/>
    <x v="101"/>
    <x v="0"/>
    <x v="1"/>
    <s v="michael_miller@company.com"/>
    <s v="868-575-7209"/>
    <x v="260"/>
    <x v="261"/>
    <x v="258"/>
    <x v="261"/>
    <x v="261"/>
    <s v="Mid Performer"/>
    <s v="Room For Growth"/>
  </r>
  <r>
    <n v="452"/>
    <x v="151"/>
    <x v="1"/>
    <x v="3"/>
    <s v="james.o’connel@company.com"/>
    <s v="555-213-7274"/>
    <x v="261"/>
    <x v="262"/>
    <x v="259"/>
    <x v="262"/>
    <x v="262"/>
    <s v="Mid Performer"/>
    <s v="Room For Growth"/>
  </r>
  <r>
    <n v="347"/>
    <x v="131"/>
    <x v="5"/>
    <x v="0"/>
    <s v="jennifer_lopez@company.com"/>
    <s v="555-975-2951"/>
    <x v="262"/>
    <x v="263"/>
    <x v="260"/>
    <x v="263"/>
    <x v="263"/>
    <s v="Mid Performer"/>
    <s v="Room For Growth"/>
  </r>
  <r>
    <n v="354"/>
    <x v="157"/>
    <x v="3"/>
    <x v="2"/>
    <s v="robertjohnson@company.com"/>
    <s v="363-636-6799"/>
    <x v="263"/>
    <x v="264"/>
    <x v="261"/>
    <x v="264"/>
    <x v="264"/>
    <s v="Mid Performer"/>
    <s v="Room For Growth"/>
  </r>
  <r>
    <n v="537"/>
    <x v="67"/>
    <x v="5"/>
    <x v="0"/>
    <s v="elizabeth.martinez@company.com"/>
    <s v="555-153-4318"/>
    <x v="264"/>
    <x v="265"/>
    <x v="262"/>
    <x v="265"/>
    <x v="265"/>
    <s v="Mid Performer"/>
    <s v="Room For Growth"/>
  </r>
  <r>
    <n v="591"/>
    <x v="160"/>
    <x v="4"/>
    <x v="1"/>
    <s v="linda.taylor@company.com"/>
    <s v="555-199-4458"/>
    <x v="265"/>
    <x v="266"/>
    <x v="263"/>
    <x v="266"/>
    <x v="266"/>
    <s v="Mid Performer"/>
    <s v="Room For Growth"/>
  </r>
  <r>
    <n v="410"/>
    <x v="71"/>
    <x v="1"/>
    <x v="1"/>
    <s v="peter.thomas@company.com"/>
    <s v="474-434-8135"/>
    <x v="266"/>
    <x v="267"/>
    <x v="264"/>
    <x v="267"/>
    <x v="267"/>
    <s v="Mid Performer"/>
    <s v="Room For Growth"/>
  </r>
  <r>
    <n v="345"/>
    <x v="90"/>
    <x v="3"/>
    <x v="3"/>
    <s v="susan.anderson@company.com"/>
    <s v="555-884-4809"/>
    <x v="267"/>
    <x v="268"/>
    <x v="265"/>
    <x v="268"/>
    <x v="268"/>
    <s v="Mid Performer"/>
    <s v="Room For Growth"/>
  </r>
  <r>
    <n v="308"/>
    <x v="20"/>
    <x v="6"/>
    <x v="2"/>
    <s v="roberttaylor@company.com"/>
    <s v="485-955-1800"/>
    <x v="268"/>
    <x v="269"/>
    <x v="266"/>
    <x v="269"/>
    <x v="269"/>
    <s v="Mid Performer"/>
    <s v="Room For Growth"/>
  </r>
  <r>
    <n v="561"/>
    <x v="161"/>
    <x v="4"/>
    <x v="1"/>
    <s v="michaeldavis@company.com"/>
    <s v="555-467-2350"/>
    <x v="269"/>
    <x v="270"/>
    <x v="267"/>
    <x v="270"/>
    <x v="270"/>
    <s v="Mid Performer"/>
    <s v="Room For Growth"/>
  </r>
  <r>
    <n v="126"/>
    <x v="162"/>
    <x v="3"/>
    <x v="1"/>
    <s v="linda.johnson@company.com"/>
    <s v="555-744-4185"/>
    <x v="270"/>
    <x v="271"/>
    <x v="268"/>
    <x v="271"/>
    <x v="271"/>
    <s v="Mid Performer"/>
    <s v="Room For Growth"/>
  </r>
  <r>
    <n v="332"/>
    <x v="163"/>
    <x v="3"/>
    <x v="0"/>
    <s v="james.rodriguez@company.com"/>
    <s v="466-039-0742"/>
    <x v="271"/>
    <x v="272"/>
    <x v="269"/>
    <x v="272"/>
    <x v="272"/>
    <s v="Mid Performer"/>
    <s v="Room For Growth"/>
  </r>
  <r>
    <n v="593"/>
    <x v="164"/>
    <x v="4"/>
    <x v="0"/>
    <s v="linda rodriguez@company.com"/>
    <s v="555-994-1749"/>
    <x v="272"/>
    <x v="273"/>
    <x v="270"/>
    <x v="273"/>
    <x v="273"/>
    <s v="Mid Performer"/>
    <s v="Room For Growth"/>
  </r>
  <r>
    <n v="117"/>
    <x v="165"/>
    <x v="4"/>
    <x v="3"/>
    <s v="patricia lopez@company.com"/>
    <s v="555-926-9666"/>
    <x v="273"/>
    <x v="274"/>
    <x v="271"/>
    <x v="274"/>
    <x v="274"/>
    <s v="Mid Performer"/>
    <s v="Room For Growth"/>
  </r>
  <r>
    <n v="163"/>
    <x v="75"/>
    <x v="0"/>
    <x v="3"/>
    <s v="johnadams@company.com"/>
    <s v="170-949-4394"/>
    <x v="274"/>
    <x v="275"/>
    <x v="272"/>
    <x v="275"/>
    <x v="275"/>
    <s v="Mid Performer"/>
    <s v="Room For Growth"/>
  </r>
  <r>
    <n v="488"/>
    <x v="155"/>
    <x v="1"/>
    <x v="0"/>
    <s v="richard.taylor@company.com"/>
    <s v="555-364-5551"/>
    <x v="275"/>
    <x v="276"/>
    <x v="273"/>
    <x v="276"/>
    <x v="276"/>
    <s v="Mid Performer"/>
    <s v="Room For Growth"/>
  </r>
  <r>
    <n v="199"/>
    <x v="166"/>
    <x v="3"/>
    <x v="3"/>
    <s v="anna brown@company.com"/>
    <s v="542-504-4246"/>
    <x v="276"/>
    <x v="277"/>
    <x v="274"/>
    <x v="277"/>
    <x v="277"/>
    <s v="Mid Performer"/>
    <s v="Room For Growth"/>
  </r>
  <r>
    <n v="124"/>
    <x v="167"/>
    <x v="1"/>
    <x v="2"/>
    <s v="williamgarcia@company.com"/>
    <s v="555-730-5930"/>
    <x v="277"/>
    <x v="278"/>
    <x v="275"/>
    <x v="278"/>
    <x v="278"/>
    <s v="Mid Performer"/>
    <s v="Room For Growth"/>
  </r>
  <r>
    <n v="342"/>
    <x v="168"/>
    <x v="4"/>
    <x v="0"/>
    <s v="peter.johnson@company.com"/>
    <s v="555-913-3979"/>
    <x v="278"/>
    <x v="279"/>
    <x v="276"/>
    <x v="279"/>
    <x v="279"/>
    <s v="Mid Performer"/>
    <s v="Room For Growth"/>
  </r>
  <r>
    <n v="556"/>
    <x v="129"/>
    <x v="3"/>
    <x v="3"/>
    <s v="susan.martinez@company.com"/>
    <s v="928-481-3807"/>
    <x v="279"/>
    <x v="280"/>
    <x v="277"/>
    <x v="280"/>
    <x v="280"/>
    <s v="Mid Performer"/>
    <s v="Room For Growth"/>
  </r>
  <r>
    <n v="485"/>
    <x v="15"/>
    <x v="6"/>
    <x v="3"/>
    <s v="barbara o’connel@company.com"/>
    <s v="750-846-1289"/>
    <x v="280"/>
    <x v="281"/>
    <x v="278"/>
    <x v="281"/>
    <x v="281"/>
    <s v="Mid Performer"/>
    <s v="Room For Growth"/>
  </r>
  <r>
    <n v="476"/>
    <x v="169"/>
    <x v="3"/>
    <x v="0"/>
    <s v="william.wright@company.com"/>
    <s v="555-464-8795"/>
    <x v="281"/>
    <x v="282"/>
    <x v="279"/>
    <x v="282"/>
    <x v="282"/>
    <s v="Mid Performer"/>
    <s v="Room For Growth"/>
  </r>
  <r>
    <n v="263"/>
    <x v="167"/>
    <x v="6"/>
    <x v="0"/>
    <s v="william.garcia@company.com"/>
    <s v="233-103-9957"/>
    <x v="282"/>
    <x v="283"/>
    <x v="280"/>
    <x v="283"/>
    <x v="283"/>
    <s v="Mid Performer"/>
    <s v="Room For Growth"/>
  </r>
  <r>
    <n v="326"/>
    <x v="170"/>
    <x v="1"/>
    <x v="0"/>
    <s v="anna.anderson@company.com"/>
    <s v="555-457-4624"/>
    <x v="283"/>
    <x v="284"/>
    <x v="281"/>
    <x v="284"/>
    <x v="284"/>
    <s v="Mid Performer"/>
    <s v="Room For Growth"/>
  </r>
  <r>
    <n v="150"/>
    <x v="5"/>
    <x v="5"/>
    <x v="0"/>
    <s v="david_o’connel@company.com"/>
    <s v="555-957-9022"/>
    <x v="284"/>
    <x v="285"/>
    <x v="282"/>
    <x v="285"/>
    <x v="285"/>
    <s v="Mid Performer"/>
    <s v="Room For Growth"/>
  </r>
  <r>
    <n v="433"/>
    <x v="34"/>
    <x v="0"/>
    <x v="1"/>
    <s v="robert_lopez@company.com"/>
    <s v="555-895-2022"/>
    <x v="285"/>
    <x v="286"/>
    <x v="283"/>
    <x v="286"/>
    <x v="286"/>
    <s v="Mid Performer"/>
    <s v="Room For Growth"/>
  </r>
  <r>
    <n v="101"/>
    <x v="171"/>
    <x v="6"/>
    <x v="3"/>
    <s v="susansmith@company.com"/>
    <s v="854-204-9935"/>
    <x v="286"/>
    <x v="287"/>
    <x v="284"/>
    <x v="287"/>
    <x v="287"/>
    <s v="Mid Performer"/>
    <s v="Room For Growth"/>
  </r>
  <r>
    <n v="248"/>
    <x v="57"/>
    <x v="1"/>
    <x v="1"/>
    <s v="anna.garcia@company.com"/>
    <s v="555-482-3316"/>
    <x v="287"/>
    <x v="288"/>
    <x v="285"/>
    <x v="288"/>
    <x v="288"/>
    <s v="Mid Performer"/>
    <s v="Room For Growth"/>
  </r>
  <r>
    <n v="147"/>
    <x v="149"/>
    <x v="2"/>
    <x v="3"/>
    <s v="mary_thomas@company.com"/>
    <s v="555-431-2899"/>
    <x v="288"/>
    <x v="289"/>
    <x v="286"/>
    <x v="289"/>
    <x v="289"/>
    <s v="Mid Performer"/>
    <s v="Room For Growth"/>
  </r>
  <r>
    <n v="539"/>
    <x v="124"/>
    <x v="2"/>
    <x v="1"/>
    <s v="elizabeth.thomas@company.com"/>
    <s v="371-530-8155"/>
    <x v="289"/>
    <x v="290"/>
    <x v="287"/>
    <x v="290"/>
    <x v="290"/>
    <s v="Mid Performer"/>
    <s v="Room For Growth"/>
  </r>
  <r>
    <n v="353"/>
    <x v="172"/>
    <x v="2"/>
    <x v="0"/>
    <s v="linda.garcia@company.com"/>
    <s v="177-667-3924"/>
    <x v="290"/>
    <x v="291"/>
    <x v="288"/>
    <x v="291"/>
    <x v="291"/>
    <s v="Mid Performer"/>
    <s v="Room For Growth"/>
  </r>
  <r>
    <n v="555"/>
    <x v="173"/>
    <x v="5"/>
    <x v="2"/>
    <s v="jamesjohnson@company.com"/>
    <s v="555-368-3855"/>
    <x v="291"/>
    <x v="292"/>
    <x v="289"/>
    <x v="292"/>
    <x v="292"/>
    <s v="Mid Performer"/>
    <s v="Room For Growth"/>
  </r>
  <r>
    <n v="398"/>
    <x v="48"/>
    <x v="0"/>
    <x v="2"/>
    <s v="susan.lopez@company.com"/>
    <s v="561-125-3930"/>
    <x v="292"/>
    <x v="293"/>
    <x v="290"/>
    <x v="293"/>
    <x v="293"/>
    <s v="Mid Performer"/>
    <s v="Room For Growth"/>
  </r>
  <r>
    <n v="200"/>
    <x v="167"/>
    <x v="4"/>
    <x v="1"/>
    <s v="william.garcia@company.com"/>
    <s v="555-575-4342"/>
    <x v="293"/>
    <x v="294"/>
    <x v="291"/>
    <x v="294"/>
    <x v="294"/>
    <s v="Mid Performer"/>
    <s v="Room For Growth"/>
  </r>
  <r>
    <n v="247"/>
    <x v="48"/>
    <x v="5"/>
    <x v="3"/>
    <s v="susanlopez@company.com"/>
    <s v="792-051-6981"/>
    <x v="294"/>
    <x v="295"/>
    <x v="292"/>
    <x v="295"/>
    <x v="295"/>
    <s v="Mid Performer"/>
    <s v="Room For Growth"/>
  </r>
  <r>
    <n v="350"/>
    <x v="174"/>
    <x v="6"/>
    <x v="0"/>
    <s v="william.rodriguez@company.com"/>
    <s v="630-115-2124"/>
    <x v="295"/>
    <x v="296"/>
    <x v="293"/>
    <x v="296"/>
    <x v="296"/>
    <s v="Mid Performer"/>
    <s v="Room For Growth"/>
  </r>
  <r>
    <n v="400"/>
    <x v="89"/>
    <x v="0"/>
    <x v="1"/>
    <s v="david.lopez@company.com"/>
    <s v="555-415-6071"/>
    <x v="296"/>
    <x v="297"/>
    <x v="294"/>
    <x v="297"/>
    <x v="297"/>
    <s v="Mid Performer"/>
    <s v="Room For Growth"/>
  </r>
  <r>
    <n v="528"/>
    <x v="163"/>
    <x v="4"/>
    <x v="1"/>
    <s v="jamesrodriguez@company.com"/>
    <s v="555-535-3130"/>
    <x v="297"/>
    <x v="298"/>
    <x v="295"/>
    <x v="298"/>
    <x v="298"/>
    <s v="Mid Performer"/>
    <s v="Room For Growth"/>
  </r>
  <r>
    <n v="275"/>
    <x v="142"/>
    <x v="4"/>
    <x v="1"/>
    <s v="susanadams@company.com"/>
    <s v="941-841-7471"/>
    <x v="298"/>
    <x v="299"/>
    <x v="296"/>
    <x v="299"/>
    <x v="299"/>
    <s v="Mid Performer"/>
    <s v="Room For Growth"/>
  </r>
  <r>
    <n v="568"/>
    <x v="175"/>
    <x v="2"/>
    <x v="2"/>
    <s v="william lopez@company.com"/>
    <s v="555-233-4369"/>
    <x v="299"/>
    <x v="300"/>
    <x v="297"/>
    <x v="300"/>
    <x v="300"/>
    <s v="Mid Performer"/>
    <s v="Room For Growth"/>
  </r>
  <r>
    <n v="102"/>
    <x v="2"/>
    <x v="4"/>
    <x v="3"/>
    <s v="elizabeth.miller@company.com"/>
    <s v="555-320-6514"/>
    <x v="300"/>
    <x v="301"/>
    <x v="298"/>
    <x v="301"/>
    <x v="301"/>
    <s v="Mid Performer"/>
    <s v="Room For Growth"/>
  </r>
  <r>
    <n v="140"/>
    <x v="176"/>
    <x v="1"/>
    <x v="3"/>
    <s v="mary.adams@company.com"/>
    <s v="205-993-1200"/>
    <x v="301"/>
    <x v="302"/>
    <x v="299"/>
    <x v="302"/>
    <x v="302"/>
    <s v="Mid Performer"/>
    <s v="Room For Growth"/>
  </r>
  <r>
    <n v="428"/>
    <x v="177"/>
    <x v="0"/>
    <x v="0"/>
    <s v="david.taylor@company.com"/>
    <s v="843-752-3740"/>
    <x v="302"/>
    <x v="303"/>
    <x v="300"/>
    <x v="303"/>
    <x v="303"/>
    <s v="Mid Performer"/>
    <s v="Room For Growth"/>
  </r>
  <r>
    <n v="436"/>
    <x v="74"/>
    <x v="5"/>
    <x v="3"/>
    <s v="susan.rodriguez@company.com"/>
    <s v="474-647-6571"/>
    <x v="303"/>
    <x v="304"/>
    <x v="301"/>
    <x v="304"/>
    <x v="304"/>
    <s v="Mid Performer"/>
    <s v="Room For Growth"/>
  </r>
  <r>
    <n v="249"/>
    <x v="76"/>
    <x v="6"/>
    <x v="2"/>
    <s v="anna taylor@company.com"/>
    <s v="555-270-9022"/>
    <x v="304"/>
    <x v="305"/>
    <x v="302"/>
    <x v="305"/>
    <x v="305"/>
    <s v="Mid Performer"/>
    <s v="Room For Growth"/>
  </r>
  <r>
    <n v="460"/>
    <x v="118"/>
    <x v="6"/>
    <x v="1"/>
    <s v="richard.martinez@company.com"/>
    <s v="555-590-1656"/>
    <x v="305"/>
    <x v="306"/>
    <x v="303"/>
    <x v="306"/>
    <x v="306"/>
    <s v="Mid Performer"/>
    <s v="Room For Growth"/>
  </r>
  <r>
    <n v="446"/>
    <x v="159"/>
    <x v="5"/>
    <x v="2"/>
    <s v="linda.wright@company.com"/>
    <s v="990-304-7152"/>
    <x v="306"/>
    <x v="307"/>
    <x v="304"/>
    <x v="307"/>
    <x v="307"/>
    <s v="Mid Performer"/>
    <s v="Room For Growth"/>
  </r>
  <r>
    <n v="441"/>
    <x v="46"/>
    <x v="4"/>
    <x v="2"/>
    <s v="barbara lopez@company.com"/>
    <s v="555-141-3185"/>
    <x v="307"/>
    <x v="308"/>
    <x v="305"/>
    <x v="308"/>
    <x v="308"/>
    <s v="Mid Performer"/>
    <s v="Room For Growth"/>
  </r>
  <r>
    <n v="236"/>
    <x v="43"/>
    <x v="6"/>
    <x v="0"/>
    <s v="william_brown@company.com"/>
    <s v="555-469-2745"/>
    <x v="308"/>
    <x v="309"/>
    <x v="306"/>
    <x v="309"/>
    <x v="309"/>
    <s v="Mid Performer"/>
    <s v="Room For Growth"/>
  </r>
  <r>
    <n v="496"/>
    <x v="1"/>
    <x v="3"/>
    <x v="1"/>
    <s v="michael.garcia@company.com"/>
    <s v="555-476-3980"/>
    <x v="309"/>
    <x v="310"/>
    <x v="307"/>
    <x v="310"/>
    <x v="310"/>
    <s v="Mid Performer"/>
    <s v="Room For Growth"/>
  </r>
  <r>
    <n v="547"/>
    <x v="178"/>
    <x v="4"/>
    <x v="1"/>
    <s v="john taylor@company.com"/>
    <s v="555-210-8759"/>
    <x v="310"/>
    <x v="311"/>
    <x v="308"/>
    <x v="311"/>
    <x v="311"/>
    <s v="Mid Performer"/>
    <s v="Room For Growth"/>
  </r>
  <r>
    <n v="159"/>
    <x v="49"/>
    <x v="4"/>
    <x v="1"/>
    <s v="michaelwright@company.com"/>
    <s v="535-474-7485"/>
    <x v="311"/>
    <x v="312"/>
    <x v="309"/>
    <x v="312"/>
    <x v="312"/>
    <s v="Mid Performer"/>
    <s v="Room For Growth"/>
  </r>
  <r>
    <n v="265"/>
    <x v="76"/>
    <x v="5"/>
    <x v="3"/>
    <s v="annataylor@company.com"/>
    <s v="713-890-2282"/>
    <x v="312"/>
    <x v="313"/>
    <x v="310"/>
    <x v="313"/>
    <x v="313"/>
    <s v="Mid Performer"/>
    <s v="Room For Growth"/>
  </r>
  <r>
    <n v="450"/>
    <x v="155"/>
    <x v="3"/>
    <x v="1"/>
    <s v="richard taylor@company.com"/>
    <s v="555-871-1203"/>
    <x v="313"/>
    <x v="314"/>
    <x v="311"/>
    <x v="314"/>
    <x v="314"/>
    <s v="Mid Performer"/>
    <s v="Room For Growth"/>
  </r>
  <r>
    <n v="376"/>
    <x v="89"/>
    <x v="0"/>
    <x v="1"/>
    <s v="davidlopez@company.com"/>
    <s v="555-684-7366"/>
    <x v="314"/>
    <x v="315"/>
    <x v="312"/>
    <x v="315"/>
    <x v="315"/>
    <s v="Mid Performer"/>
    <s v="Room For Growth"/>
  </r>
  <r>
    <n v="218"/>
    <x v="148"/>
    <x v="4"/>
    <x v="2"/>
    <s v="richard adams@company.com"/>
    <s v="555-525-8484"/>
    <x v="315"/>
    <x v="316"/>
    <x v="313"/>
    <x v="316"/>
    <x v="316"/>
    <s v="Mid Performer"/>
    <s v="Room For Growth"/>
  </r>
  <r>
    <n v="162"/>
    <x v="153"/>
    <x v="4"/>
    <x v="2"/>
    <s v="james_thomas@company.com"/>
    <s v="555-382-4109"/>
    <x v="316"/>
    <x v="317"/>
    <x v="314"/>
    <x v="317"/>
    <x v="317"/>
    <s v="Mid Performer"/>
    <s v="Room For Growth"/>
  </r>
  <r>
    <n v="380"/>
    <x v="162"/>
    <x v="4"/>
    <x v="3"/>
    <s v="linda_johnson@company.com"/>
    <s v="555-391-1267"/>
    <x v="317"/>
    <x v="318"/>
    <x v="315"/>
    <x v="318"/>
    <x v="318"/>
    <s v="Mid Performer"/>
    <s v="Room For Growth"/>
  </r>
  <r>
    <n v="205"/>
    <x v="179"/>
    <x v="1"/>
    <x v="2"/>
    <s v="richard_brown@company.com"/>
    <s v="758-134-9462"/>
    <x v="318"/>
    <x v="319"/>
    <x v="316"/>
    <x v="319"/>
    <x v="319"/>
    <s v="Mid Performer"/>
    <s v="Room For Growth"/>
  </r>
  <r>
    <n v="416"/>
    <x v="53"/>
    <x v="4"/>
    <x v="1"/>
    <s v="michael.thomas@company.com"/>
    <s v="555-586-2849"/>
    <x v="319"/>
    <x v="320"/>
    <x v="317"/>
    <x v="320"/>
    <x v="320"/>
    <s v="Mid Performer"/>
    <s v="Room For Growth"/>
  </r>
  <r>
    <n v="480"/>
    <x v="109"/>
    <x v="1"/>
    <x v="2"/>
    <s v="jennifer taylor@company.com"/>
    <s v="555-157-7412"/>
    <x v="320"/>
    <x v="321"/>
    <x v="318"/>
    <x v="321"/>
    <x v="321"/>
    <s v="Mid Performer"/>
    <s v="Room For Growth"/>
  </r>
  <r>
    <n v="502"/>
    <x v="111"/>
    <x v="3"/>
    <x v="3"/>
    <s v="michael.anderson@company.com"/>
    <s v="555-603-3478"/>
    <x v="321"/>
    <x v="322"/>
    <x v="319"/>
    <x v="322"/>
    <x v="322"/>
    <s v="Mid Performer"/>
    <s v="Room For Growth"/>
  </r>
  <r>
    <n v="114"/>
    <x v="58"/>
    <x v="6"/>
    <x v="0"/>
    <s v="patriciaanderson@company.com"/>
    <s v="780-399-0970"/>
    <x v="322"/>
    <x v="323"/>
    <x v="320"/>
    <x v="323"/>
    <x v="323"/>
    <s v="Mid Performer"/>
    <s v="Room For Growth"/>
  </r>
  <r>
    <n v="208"/>
    <x v="82"/>
    <x v="1"/>
    <x v="0"/>
    <s v="michael_taylor@company.com"/>
    <s v="635-375-8928"/>
    <x v="323"/>
    <x v="324"/>
    <x v="321"/>
    <x v="324"/>
    <x v="324"/>
    <s v="Mid Performer"/>
    <s v="Room For Growth"/>
  </r>
  <r>
    <n v="133"/>
    <x v="87"/>
    <x v="3"/>
    <x v="0"/>
    <s v="david.miller@company.com"/>
    <s v="233-590-1990"/>
    <x v="324"/>
    <x v="325"/>
    <x v="322"/>
    <x v="325"/>
    <x v="325"/>
    <s v="Mid Performer"/>
    <s v="Room For Growth"/>
  </r>
  <r>
    <n v="440"/>
    <x v="6"/>
    <x v="5"/>
    <x v="0"/>
    <s v="james_anderson@company.com"/>
    <s v="555-223-9943"/>
    <x v="325"/>
    <x v="326"/>
    <x v="323"/>
    <x v="326"/>
    <x v="326"/>
    <s v="Mid Performer"/>
    <s v="Room For Growth"/>
  </r>
  <r>
    <n v="170"/>
    <x v="94"/>
    <x v="2"/>
    <x v="2"/>
    <s v="john_davis@company.com"/>
    <s v="555-819-6062"/>
    <x v="326"/>
    <x v="327"/>
    <x v="324"/>
    <x v="327"/>
    <x v="327"/>
    <s v="Mid Performer"/>
    <s v="Room For Growth"/>
  </r>
  <r>
    <n v="365"/>
    <x v="180"/>
    <x v="5"/>
    <x v="3"/>
    <s v="john.brown@company.com"/>
    <s v="872-219-9922"/>
    <x v="327"/>
    <x v="328"/>
    <x v="325"/>
    <x v="328"/>
    <x v="328"/>
    <s v="Mid Performer"/>
    <s v="Room For Growth"/>
  </r>
  <r>
    <n v="333"/>
    <x v="181"/>
    <x v="2"/>
    <x v="2"/>
    <s v="peter.davis@company.com"/>
    <s v="438-465-3100"/>
    <x v="328"/>
    <x v="329"/>
    <x v="326"/>
    <x v="329"/>
    <x v="329"/>
    <s v="Mid Performer"/>
    <s v="Room For Growth"/>
  </r>
  <r>
    <n v="280"/>
    <x v="54"/>
    <x v="1"/>
    <x v="2"/>
    <s v="mary.miller@company.com"/>
    <s v="555-639-8831"/>
    <x v="329"/>
    <x v="330"/>
    <x v="327"/>
    <x v="330"/>
    <x v="330"/>
    <s v="Mid Performer"/>
    <s v="Room For Growth"/>
  </r>
  <r>
    <n v="238"/>
    <x v="182"/>
    <x v="3"/>
    <x v="2"/>
    <s v="anna_wilson@company.com"/>
    <s v="555-408-5397"/>
    <x v="330"/>
    <x v="331"/>
    <x v="328"/>
    <x v="331"/>
    <x v="331"/>
    <s v="Mid Performer"/>
    <s v="Room For Growth"/>
  </r>
  <r>
    <n v="526"/>
    <x v="183"/>
    <x v="2"/>
    <x v="3"/>
    <s v="annasmith@company.com"/>
    <s v="555-952-5979"/>
    <x v="331"/>
    <x v="332"/>
    <x v="329"/>
    <x v="332"/>
    <x v="332"/>
    <s v="Mid Performer"/>
    <s v="Room For Growth"/>
  </r>
  <r>
    <n v="228"/>
    <x v="83"/>
    <x v="3"/>
    <x v="3"/>
    <s v="patriciabrown@company.com"/>
    <s v="555-363-9005"/>
    <x v="332"/>
    <x v="333"/>
    <x v="330"/>
    <x v="333"/>
    <x v="333"/>
    <s v="Mid Performer"/>
    <s v="Room For Growth"/>
  </r>
  <r>
    <n v="598"/>
    <x v="70"/>
    <x v="1"/>
    <x v="2"/>
    <s v="patricia.adams@company.com"/>
    <s v="555-209-7476"/>
    <x v="333"/>
    <x v="334"/>
    <x v="331"/>
    <x v="334"/>
    <x v="334"/>
    <s v="Mid Performer"/>
    <s v="Room For Growth"/>
  </r>
  <r>
    <n v="157"/>
    <x v="114"/>
    <x v="0"/>
    <x v="2"/>
    <s v="jennifer garcia@company.com"/>
    <s v="555-921-6772"/>
    <x v="334"/>
    <x v="335"/>
    <x v="332"/>
    <x v="335"/>
    <x v="335"/>
    <s v="Mid Performer"/>
    <s v="Room For Growth"/>
  </r>
  <r>
    <n v="207"/>
    <x v="87"/>
    <x v="2"/>
    <x v="1"/>
    <s v="davidmiller@company.com"/>
    <s v="555-119-8225"/>
    <x v="335"/>
    <x v="336"/>
    <x v="333"/>
    <x v="336"/>
    <x v="336"/>
    <s v="Mid Performer"/>
    <s v="Room For Growth"/>
  </r>
  <r>
    <n v="492"/>
    <x v="176"/>
    <x v="6"/>
    <x v="2"/>
    <s v="mary_adams@company.com"/>
    <s v="555-647-4872"/>
    <x v="336"/>
    <x v="337"/>
    <x v="334"/>
    <x v="337"/>
    <x v="337"/>
    <s v="Mid Performer"/>
    <s v="Room For Growth"/>
  </r>
  <r>
    <n v="498"/>
    <x v="122"/>
    <x v="4"/>
    <x v="2"/>
    <s v="patricia.taylor@company.com"/>
    <s v="555-844-4102"/>
    <x v="337"/>
    <x v="338"/>
    <x v="335"/>
    <x v="338"/>
    <x v="338"/>
    <s v="Mid Performer"/>
    <s v="Room For Growth"/>
  </r>
  <r>
    <n v="267"/>
    <x v="37"/>
    <x v="4"/>
    <x v="2"/>
    <s v="jenniferrodriguez@company.com"/>
    <s v="555-978-1579"/>
    <x v="338"/>
    <x v="339"/>
    <x v="336"/>
    <x v="339"/>
    <x v="339"/>
    <s v="Mid Performer"/>
    <s v="Room For Growth"/>
  </r>
  <r>
    <n v="331"/>
    <x v="136"/>
    <x v="3"/>
    <x v="0"/>
    <s v="anna miller@company.com"/>
    <s v="961-153-7583"/>
    <x v="339"/>
    <x v="340"/>
    <x v="337"/>
    <x v="340"/>
    <x v="340"/>
    <s v="Mid Performer"/>
    <s v="Room For Growth"/>
  </r>
  <r>
    <n v="467"/>
    <x v="132"/>
    <x v="1"/>
    <x v="1"/>
    <s v="patricia garcia@company.com"/>
    <s v="555-656-6285"/>
    <x v="340"/>
    <x v="341"/>
    <x v="338"/>
    <x v="341"/>
    <x v="341"/>
    <s v="Mid Performer"/>
    <s v="Room For Growth"/>
  </r>
  <r>
    <n v="137"/>
    <x v="135"/>
    <x v="1"/>
    <x v="2"/>
    <s v="robert.smith@company.com"/>
    <s v="555-807-8800"/>
    <x v="341"/>
    <x v="342"/>
    <x v="339"/>
    <x v="342"/>
    <x v="342"/>
    <s v="Mid Performer"/>
    <s v="Room For Growth"/>
  </r>
  <r>
    <n v="264"/>
    <x v="184"/>
    <x v="5"/>
    <x v="0"/>
    <s v="william.o’connel@company.com"/>
    <s v="555-966-4909"/>
    <x v="342"/>
    <x v="343"/>
    <x v="340"/>
    <x v="343"/>
    <x v="343"/>
    <s v="Mid Performer"/>
    <s v="Room For Growth"/>
  </r>
  <r>
    <n v="582"/>
    <x v="120"/>
    <x v="1"/>
    <x v="1"/>
    <s v="james.miller@company.com"/>
    <s v="659-677-4914"/>
    <x v="343"/>
    <x v="344"/>
    <x v="341"/>
    <x v="344"/>
    <x v="344"/>
    <s v="Mid Performer"/>
    <s v="Room For Growth"/>
  </r>
  <r>
    <n v="553"/>
    <x v="1"/>
    <x v="4"/>
    <x v="3"/>
    <s v="michaelgarcia@company.com"/>
    <s v="555-103-4654"/>
    <x v="344"/>
    <x v="345"/>
    <x v="342"/>
    <x v="345"/>
    <x v="345"/>
    <s v="Mid Performer"/>
    <s v="Room For Growth"/>
  </r>
  <r>
    <n v="145"/>
    <x v="185"/>
    <x v="6"/>
    <x v="3"/>
    <s v="mary anderson@company.com"/>
    <s v="604-740-5755"/>
    <x v="345"/>
    <x v="346"/>
    <x v="343"/>
    <x v="346"/>
    <x v="346"/>
    <s v="Mid Performer"/>
    <s v="Room For Growth"/>
  </r>
  <r>
    <n v="144"/>
    <x v="186"/>
    <x v="0"/>
    <x v="3"/>
    <s v="mary lopez@company.com"/>
    <s v="934-373-0920"/>
    <x v="346"/>
    <x v="347"/>
    <x v="344"/>
    <x v="347"/>
    <x v="347"/>
    <s v="Mid Performer"/>
    <s v="Room For Growth"/>
  </r>
  <r>
    <n v="301"/>
    <x v="37"/>
    <x v="1"/>
    <x v="3"/>
    <s v="jenniferrodriguez@company.com"/>
    <s v="555-960-3967"/>
    <x v="347"/>
    <x v="348"/>
    <x v="345"/>
    <x v="348"/>
    <x v="348"/>
    <s v="Mid Performer"/>
    <s v="Room For Growth"/>
  </r>
  <r>
    <n v="149"/>
    <x v="159"/>
    <x v="4"/>
    <x v="1"/>
    <s v="linda.wright@company.com"/>
    <s v="610-833-5781"/>
    <x v="348"/>
    <x v="349"/>
    <x v="346"/>
    <x v="349"/>
    <x v="349"/>
    <s v="Mid Performer"/>
    <s v="Room For Growth"/>
  </r>
  <r>
    <n v="540"/>
    <x v="84"/>
    <x v="2"/>
    <x v="0"/>
    <s v="peter.garcia@company.com"/>
    <s v="842-669-5578"/>
    <x v="349"/>
    <x v="350"/>
    <x v="347"/>
    <x v="350"/>
    <x v="350"/>
    <s v="Mid Performer"/>
    <s v="Room For Growth"/>
  </r>
  <r>
    <n v="413"/>
    <x v="42"/>
    <x v="5"/>
    <x v="2"/>
    <s v="barbara.martinez@company.com"/>
    <s v="555-923-5641"/>
    <x v="350"/>
    <x v="351"/>
    <x v="348"/>
    <x v="351"/>
    <x v="351"/>
    <s v="Mid Performer"/>
    <s v="Room For Growth"/>
  </r>
  <r>
    <n v="293"/>
    <x v="187"/>
    <x v="5"/>
    <x v="2"/>
    <s v="mary.wilson@company.com"/>
    <s v="555-863-8785"/>
    <x v="351"/>
    <x v="352"/>
    <x v="349"/>
    <x v="352"/>
    <x v="352"/>
    <s v="Mid Performer"/>
    <s v="Room For Growth"/>
  </r>
  <r>
    <n v="328"/>
    <x v="188"/>
    <x v="3"/>
    <x v="1"/>
    <s v="peter.wright@company.com"/>
    <s v="786-744-4492"/>
    <x v="352"/>
    <x v="353"/>
    <x v="350"/>
    <x v="353"/>
    <x v="353"/>
    <s v="Mid Performer"/>
    <s v="Room For Growth"/>
  </r>
  <r>
    <n v="294"/>
    <x v="161"/>
    <x v="6"/>
    <x v="0"/>
    <s v="michael davis@company.com"/>
    <s v="555-761-2462"/>
    <x v="353"/>
    <x v="354"/>
    <x v="351"/>
    <x v="354"/>
    <x v="354"/>
    <s v="Mid Performer"/>
    <s v="Room For Growth"/>
  </r>
  <r>
    <n v="324"/>
    <x v="164"/>
    <x v="0"/>
    <x v="2"/>
    <s v="linda.rodriguez@company.com"/>
    <s v="555-298-5819"/>
    <x v="354"/>
    <x v="355"/>
    <x v="352"/>
    <x v="355"/>
    <x v="355"/>
    <s v="Mid Performer"/>
    <s v="Room For Growth"/>
  </r>
  <r>
    <n v="148"/>
    <x v="148"/>
    <x v="3"/>
    <x v="3"/>
    <s v="richard adams@company.com"/>
    <s v="555-224-1472"/>
    <x v="355"/>
    <x v="356"/>
    <x v="353"/>
    <x v="356"/>
    <x v="356"/>
    <s v="Low Performer"/>
    <s v="Review Cause Effect"/>
  </r>
  <r>
    <n v="445"/>
    <x v="189"/>
    <x v="6"/>
    <x v="1"/>
    <s v="mary wright@company.com"/>
    <s v="839-336-9940"/>
    <x v="356"/>
    <x v="357"/>
    <x v="354"/>
    <x v="357"/>
    <x v="357"/>
    <s v="Low Performer"/>
    <s v="Review Cause Effect"/>
  </r>
  <r>
    <n v="312"/>
    <x v="190"/>
    <x v="2"/>
    <x v="0"/>
    <s v="michael.lopez@company.com"/>
    <s v="555-567-5453"/>
    <x v="357"/>
    <x v="358"/>
    <x v="355"/>
    <x v="358"/>
    <x v="358"/>
    <s v="Low Performer"/>
    <s v="Review Cause Effect"/>
  </r>
  <r>
    <n v="240"/>
    <x v="190"/>
    <x v="4"/>
    <x v="3"/>
    <s v="michael_lopez@company.com"/>
    <s v="256-772-9816"/>
    <x v="358"/>
    <x v="359"/>
    <x v="356"/>
    <x v="359"/>
    <x v="359"/>
    <s v="Low Performer"/>
    <s v="Review Cause Effect"/>
  </r>
  <r>
    <n v="339"/>
    <x v="113"/>
    <x v="3"/>
    <x v="0"/>
    <s v="robert_wilson@company.com"/>
    <s v="598-911-8898"/>
    <x v="359"/>
    <x v="360"/>
    <x v="357"/>
    <x v="360"/>
    <x v="360"/>
    <s v="Low Performer"/>
    <s v="Review Cause Effect"/>
  </r>
  <r>
    <n v="270"/>
    <x v="69"/>
    <x v="1"/>
    <x v="2"/>
    <s v="susan.johnson@company.com"/>
    <s v="555-337-9515"/>
    <x v="360"/>
    <x v="361"/>
    <x v="358"/>
    <x v="361"/>
    <x v="361"/>
    <s v="Low Performer"/>
    <s v="Review Cause Effect"/>
  </r>
  <r>
    <n v="519"/>
    <x v="56"/>
    <x v="0"/>
    <x v="1"/>
    <s v="anna_adams@company.com"/>
    <s v="555-675-4671"/>
    <x v="361"/>
    <x v="362"/>
    <x v="359"/>
    <x v="5"/>
    <x v="362"/>
    <s v="High Performer"/>
    <s v="Eligible for Promotion"/>
  </r>
  <r>
    <n v="500"/>
    <x v="37"/>
    <x v="1"/>
    <x v="1"/>
    <s v="jennifer.rodriguez@company.com"/>
    <s v="555-504-7076"/>
    <x v="362"/>
    <x v="363"/>
    <x v="360"/>
    <x v="362"/>
    <x v="363"/>
    <s v="Low Performer"/>
    <s v="Review Cause Effect"/>
  </r>
  <r>
    <n v="442"/>
    <x v="58"/>
    <x v="6"/>
    <x v="0"/>
    <s v="patricia.anderson@company.com"/>
    <s v="502-906-4216"/>
    <x v="363"/>
    <x v="364"/>
    <x v="361"/>
    <x v="363"/>
    <x v="364"/>
    <s v="Low Performer"/>
    <s v="Review Cause Effect"/>
  </r>
  <r>
    <n v="128"/>
    <x v="124"/>
    <x v="3"/>
    <x v="0"/>
    <s v="elizabeth.thomas@company.com"/>
    <s v="555-365-5050"/>
    <x v="364"/>
    <x v="365"/>
    <x v="362"/>
    <x v="364"/>
    <x v="365"/>
    <s v="Low Performer"/>
    <s v="Review Cause Effect"/>
  </r>
  <r>
    <n v="202"/>
    <x v="145"/>
    <x v="2"/>
    <x v="0"/>
    <s v="jennifer smith@company.com"/>
    <s v="555-149-1828"/>
    <x v="365"/>
    <x v="366"/>
    <x v="363"/>
    <x v="365"/>
    <x v="366"/>
    <s v="Low Performer"/>
    <s v="Review Cause Effect"/>
  </r>
  <r>
    <n v="370"/>
    <x v="153"/>
    <x v="6"/>
    <x v="1"/>
    <s v="james thomas@company.com"/>
    <s v="555-744-1691"/>
    <x v="366"/>
    <x v="367"/>
    <x v="364"/>
    <x v="366"/>
    <x v="367"/>
    <s v="Low Performer"/>
    <s v="Review Cause Effect"/>
  </r>
  <r>
    <n v="447"/>
    <x v="191"/>
    <x v="6"/>
    <x v="2"/>
    <s v="david.thomas@company.com"/>
    <s v="555-387-3236"/>
    <x v="367"/>
    <x v="368"/>
    <x v="365"/>
    <x v="367"/>
    <x v="368"/>
    <s v="Low Performer"/>
    <s v="Review Cause Effect"/>
  </r>
  <r>
    <n v="260"/>
    <x v="192"/>
    <x v="6"/>
    <x v="2"/>
    <s v="barbara.johnson@company.com"/>
    <s v="555-870-3017"/>
    <x v="368"/>
    <x v="369"/>
    <x v="366"/>
    <x v="368"/>
    <x v="369"/>
    <s v="Low Performer"/>
    <s v="Review Cause Effect"/>
  </r>
  <r>
    <n v="261"/>
    <x v="62"/>
    <x v="1"/>
    <x v="3"/>
    <s v="peter.miller@company.com"/>
    <s v="555-402-1894"/>
    <x v="369"/>
    <x v="370"/>
    <x v="367"/>
    <x v="369"/>
    <x v="370"/>
    <s v="Low Performer"/>
    <s v="Review Cause Effect"/>
  </r>
  <r>
    <n v="387"/>
    <x v="142"/>
    <x v="3"/>
    <x v="2"/>
    <s v="susan_adams@company.com"/>
    <s v="242-539-9664"/>
    <x v="370"/>
    <x v="371"/>
    <x v="368"/>
    <x v="370"/>
    <x v="371"/>
    <s v="Low Performer"/>
    <s v="Review Cause Effect"/>
  </r>
  <r>
    <n v="385"/>
    <x v="177"/>
    <x v="1"/>
    <x v="2"/>
    <s v="david.taylor@company.com"/>
    <s v="555-352-4970"/>
    <x v="371"/>
    <x v="372"/>
    <x v="369"/>
    <x v="371"/>
    <x v="372"/>
    <s v="Low Performer"/>
    <s v="Review Cause Effect"/>
  </r>
  <r>
    <n v="305"/>
    <x v="193"/>
    <x v="6"/>
    <x v="1"/>
    <s v="james.smith@company.com"/>
    <s v="555-851-5076"/>
    <x v="372"/>
    <x v="373"/>
    <x v="370"/>
    <x v="372"/>
    <x v="373"/>
    <s v="Low Performer"/>
    <s v="Review Cause Effect"/>
  </r>
  <r>
    <n v="296"/>
    <x v="171"/>
    <x v="3"/>
    <x v="3"/>
    <s v="susan.smith@company.com"/>
    <s v="555-708-8308"/>
    <x v="373"/>
    <x v="374"/>
    <x v="371"/>
    <x v="373"/>
    <x v="374"/>
    <s v="Low Performer"/>
    <s v="Review Cause Effect"/>
  </r>
  <r>
    <n v="348"/>
    <x v="41"/>
    <x v="0"/>
    <x v="1"/>
    <s v="williammartinez@company.com"/>
    <s v="555-582-8133"/>
    <x v="374"/>
    <x v="375"/>
    <x v="372"/>
    <x v="374"/>
    <x v="375"/>
    <s v="Low Performer"/>
    <s v="Review Cause Effect"/>
  </r>
  <r>
    <n v="325"/>
    <x v="194"/>
    <x v="2"/>
    <x v="3"/>
    <s v="anna.davis@company.com"/>
    <s v="555-711-1833"/>
    <x v="151"/>
    <x v="376"/>
    <x v="373"/>
    <x v="375"/>
    <x v="376"/>
    <s v="Low Performer"/>
    <s v="Review Cause Effect"/>
  </r>
  <r>
    <n v="434"/>
    <x v="40"/>
    <x v="3"/>
    <x v="0"/>
    <s v="jenniferwright@company.com"/>
    <s v="555-174-2153"/>
    <x v="375"/>
    <x v="377"/>
    <x v="374"/>
    <x v="376"/>
    <x v="377"/>
    <s v="Low Performer"/>
    <s v="Review Cause Effect"/>
  </r>
  <r>
    <n v="566"/>
    <x v="26"/>
    <x v="3"/>
    <x v="0"/>
    <s v="william.wilson@company.com"/>
    <s v="555-647-7331"/>
    <x v="376"/>
    <x v="378"/>
    <x v="375"/>
    <x v="377"/>
    <x v="378"/>
    <s v="Low Performer"/>
    <s v="Review Cause Effect"/>
  </r>
  <r>
    <n v="424"/>
    <x v="195"/>
    <x v="2"/>
    <x v="0"/>
    <s v="barbara.adams@company.com"/>
    <s v="992-594-9659"/>
    <x v="377"/>
    <x v="379"/>
    <x v="376"/>
    <x v="378"/>
    <x v="379"/>
    <s v="Low Performer"/>
    <s v="Review Cause Effect"/>
  </r>
  <r>
    <n v="453"/>
    <x v="13"/>
    <x v="5"/>
    <x v="2"/>
    <s v="james brown@company.com"/>
    <s v="915-156-0334"/>
    <x v="378"/>
    <x v="380"/>
    <x v="377"/>
    <x v="379"/>
    <x v="380"/>
    <s v="Low Performer"/>
    <s v="Review Cause Effect"/>
  </r>
  <r>
    <n v="259"/>
    <x v="184"/>
    <x v="6"/>
    <x v="1"/>
    <s v="william.o’connel@company.com"/>
    <s v="988-376-0207"/>
    <x v="379"/>
    <x v="381"/>
    <x v="378"/>
    <x v="380"/>
    <x v="381"/>
    <s v="Low Performer"/>
    <s v="Review Cause Effect"/>
  </r>
  <r>
    <n v="377"/>
    <x v="125"/>
    <x v="0"/>
    <x v="1"/>
    <s v="james.taylor@company.com"/>
    <s v="555-920-1994"/>
    <x v="380"/>
    <x v="382"/>
    <x v="379"/>
    <x v="381"/>
    <x v="382"/>
    <s v="Low Performer"/>
    <s v="Review Cause Effect"/>
  </r>
  <r>
    <n v="419"/>
    <x v="41"/>
    <x v="4"/>
    <x v="1"/>
    <s v="william.martinez@company.com"/>
    <s v="654-696-4238"/>
    <x v="381"/>
    <x v="383"/>
    <x v="380"/>
    <x v="382"/>
    <x v="383"/>
    <s v="Low Performer"/>
    <s v="Review Cause Effect"/>
  </r>
  <r>
    <n v="106"/>
    <x v="196"/>
    <x v="1"/>
    <x v="0"/>
    <s v="robert_anderson@company.com"/>
    <s v="821-761-1860"/>
    <x v="382"/>
    <x v="384"/>
    <x v="381"/>
    <x v="383"/>
    <x v="384"/>
    <s v="Low Performer"/>
    <s v="Review Cause Effect"/>
  </r>
  <r>
    <n v="355"/>
    <x v="82"/>
    <x v="1"/>
    <x v="3"/>
    <s v="michael.taylor@company.com"/>
    <s v="555-155-9613"/>
    <x v="383"/>
    <x v="385"/>
    <x v="382"/>
    <x v="384"/>
    <x v="385"/>
    <s v="Low Performer"/>
    <s v="Review Cause Effect"/>
  </r>
  <r>
    <n v="527"/>
    <x v="77"/>
    <x v="4"/>
    <x v="3"/>
    <s v="patriciasmith@company.com"/>
    <s v="836-308-1382"/>
    <x v="384"/>
    <x v="386"/>
    <x v="383"/>
    <x v="385"/>
    <x v="386"/>
    <s v="Low Performer"/>
    <s v="Review Cause Effect"/>
  </r>
  <r>
    <n v="187"/>
    <x v="197"/>
    <x v="2"/>
    <x v="0"/>
    <s v="richard o’connel@company.com"/>
    <s v="555-835-3352"/>
    <x v="385"/>
    <x v="387"/>
    <x v="384"/>
    <x v="386"/>
    <x v="387"/>
    <s v="Low Performer"/>
    <s v="Review Cause Effect"/>
  </r>
  <r>
    <n v="386"/>
    <x v="35"/>
    <x v="5"/>
    <x v="2"/>
    <s v="elizabeth_rodriguez@company.com"/>
    <s v="888-412-3773"/>
    <x v="386"/>
    <x v="388"/>
    <x v="385"/>
    <x v="387"/>
    <x v="388"/>
    <s v="Low Performer"/>
    <s v="Review Cause Effect"/>
  </r>
  <r>
    <n v="161"/>
    <x v="19"/>
    <x v="3"/>
    <x v="2"/>
    <s v="susan.wright@company.com"/>
    <s v="887-565-1818"/>
    <x v="387"/>
    <x v="389"/>
    <x v="386"/>
    <x v="388"/>
    <x v="389"/>
    <s v="Low Performer"/>
    <s v="Review Cause Effect"/>
  </r>
  <r>
    <n v="315"/>
    <x v="55"/>
    <x v="4"/>
    <x v="2"/>
    <s v="linda.wilson@company.com"/>
    <s v="555-570-8277"/>
    <x v="388"/>
    <x v="390"/>
    <x v="387"/>
    <x v="389"/>
    <x v="390"/>
    <s v="Low Performer"/>
    <s v="Review Cause Effect"/>
  </r>
  <r>
    <n v="588"/>
    <x v="167"/>
    <x v="6"/>
    <x v="0"/>
    <s v="william.garcia@company.com"/>
    <s v="211-751-6642"/>
    <x v="389"/>
    <x v="391"/>
    <x v="388"/>
    <x v="390"/>
    <x v="391"/>
    <s v="Low Performer"/>
    <s v="Review Cause Effect"/>
  </r>
  <r>
    <n v="472"/>
    <x v="198"/>
    <x v="2"/>
    <x v="1"/>
    <s v="linda o’connel@company.com"/>
    <s v="733-385-4872"/>
    <x v="390"/>
    <x v="392"/>
    <x v="389"/>
    <x v="391"/>
    <x v="392"/>
    <s v="Low Performer"/>
    <s v="Review Cause Effect"/>
  </r>
  <r>
    <n v="244"/>
    <x v="199"/>
    <x v="2"/>
    <x v="0"/>
    <s v="david.rodriguez@company.com"/>
    <s v="436-841-3994"/>
    <x v="391"/>
    <x v="393"/>
    <x v="390"/>
    <x v="392"/>
    <x v="393"/>
    <s v="Low Performer"/>
    <s v="Review Cause Effect"/>
  </r>
  <r>
    <n v="246"/>
    <x v="124"/>
    <x v="3"/>
    <x v="0"/>
    <s v="elizabeth.thomas@company.com"/>
    <s v="555-288-4053"/>
    <x v="100"/>
    <x v="394"/>
    <x v="391"/>
    <x v="393"/>
    <x v="394"/>
    <s v="Low Performer"/>
    <s v="Review Cause Effect"/>
  </r>
  <r>
    <n v="438"/>
    <x v="200"/>
    <x v="2"/>
    <x v="3"/>
    <s v="richard.smith@company.com"/>
    <s v="555-445-1701"/>
    <x v="392"/>
    <x v="395"/>
    <x v="392"/>
    <x v="394"/>
    <x v="395"/>
    <s v="Low Performer"/>
    <s v="Review Cause Effect"/>
  </r>
  <r>
    <n v="373"/>
    <x v="201"/>
    <x v="2"/>
    <x v="0"/>
    <s v="richard_johnson@company.com"/>
    <s v="310-492-9112"/>
    <x v="393"/>
    <x v="396"/>
    <x v="393"/>
    <x v="395"/>
    <x v="396"/>
    <s v="Low Performer"/>
    <s v="Review Cause Effect"/>
  </r>
  <r>
    <n v="363"/>
    <x v="202"/>
    <x v="3"/>
    <x v="3"/>
    <s v="patricia.miller@company.com"/>
    <s v="734-003-6327"/>
    <x v="394"/>
    <x v="397"/>
    <x v="394"/>
    <x v="396"/>
    <x v="397"/>
    <s v="Low Performer"/>
    <s v="Review Cause Effect"/>
  </r>
  <r>
    <n v="164"/>
    <x v="171"/>
    <x v="3"/>
    <x v="1"/>
    <s v="susan_smith@company.com"/>
    <s v="848-062-2107"/>
    <x v="395"/>
    <x v="398"/>
    <x v="395"/>
    <x v="397"/>
    <x v="398"/>
    <s v="Low Performer"/>
    <s v="Review Cause Effect"/>
  </r>
  <r>
    <n v="516"/>
    <x v="147"/>
    <x v="5"/>
    <x v="0"/>
    <s v="michael.o’connel@company.com"/>
    <s v="555-559-8147"/>
    <x v="396"/>
    <x v="399"/>
    <x v="396"/>
    <x v="398"/>
    <x v="399"/>
    <s v="Low Performer"/>
    <s v="Review Cause Effect"/>
  </r>
  <r>
    <n v="329"/>
    <x v="31"/>
    <x v="2"/>
    <x v="2"/>
    <s v="peter_o’connel@company.com"/>
    <s v="555-497-8391"/>
    <x v="397"/>
    <x v="400"/>
    <x v="397"/>
    <x v="399"/>
    <x v="400"/>
    <s v="Low Performer"/>
    <s v="Review Cause Effect"/>
  </r>
  <r>
    <n v="388"/>
    <x v="73"/>
    <x v="6"/>
    <x v="1"/>
    <s v="jennifer.brown@company.com"/>
    <s v="555-696-9631"/>
    <x v="398"/>
    <x v="401"/>
    <x v="398"/>
    <x v="400"/>
    <x v="401"/>
    <s v="Low Performer"/>
    <s v="Review Cause Effect"/>
  </r>
  <r>
    <n v="371"/>
    <x v="150"/>
    <x v="3"/>
    <x v="0"/>
    <s v="james_wright@company.com"/>
    <s v="826-172-2027"/>
    <x v="399"/>
    <x v="402"/>
    <x v="399"/>
    <x v="401"/>
    <x v="402"/>
    <s v="Low Performer"/>
    <s v="Review Cause Effect"/>
  </r>
  <r>
    <n v="139"/>
    <x v="173"/>
    <x v="6"/>
    <x v="0"/>
    <s v="james_johnson@company.com"/>
    <s v="555-952-4180"/>
    <x v="400"/>
    <x v="403"/>
    <x v="400"/>
    <x v="402"/>
    <x v="403"/>
    <s v="Low Performer"/>
    <s v="Review Cause Effect"/>
  </r>
  <r>
    <n v="412"/>
    <x v="203"/>
    <x v="3"/>
    <x v="3"/>
    <s v="michael_johnson@company.com"/>
    <s v="149-160-3670"/>
    <x v="401"/>
    <x v="404"/>
    <x v="401"/>
    <x v="403"/>
    <x v="404"/>
    <s v="Low Performer"/>
    <s v="Review Cause Effect"/>
  </r>
  <r>
    <n v="584"/>
    <x v="89"/>
    <x v="5"/>
    <x v="0"/>
    <s v="david.lopez@company.com"/>
    <s v="390-484-8878"/>
    <x v="402"/>
    <x v="405"/>
    <x v="402"/>
    <x v="404"/>
    <x v="405"/>
    <s v="Low Performer"/>
    <s v="Review Cause Effect"/>
  </r>
  <r>
    <n v="165"/>
    <x v="86"/>
    <x v="4"/>
    <x v="2"/>
    <s v="barbara wright@company.com"/>
    <s v="555-967-7580"/>
    <x v="403"/>
    <x v="406"/>
    <x v="403"/>
    <x v="405"/>
    <x v="406"/>
    <s v="Low Performer"/>
    <s v="Review Cause Effect"/>
  </r>
  <r>
    <n v="258"/>
    <x v="137"/>
    <x v="4"/>
    <x v="1"/>
    <s v="johnjohnson@company.com"/>
    <s v="555-812-6629"/>
    <x v="404"/>
    <x v="407"/>
    <x v="404"/>
    <x v="406"/>
    <x v="407"/>
    <s v="Low Performer"/>
    <s v="Review Cause Effect"/>
  </r>
  <r>
    <n v="131"/>
    <x v="175"/>
    <x v="0"/>
    <x v="0"/>
    <s v="williamlopez@company.com"/>
    <s v="555-185-8022"/>
    <x v="405"/>
    <x v="408"/>
    <x v="405"/>
    <x v="407"/>
    <x v="408"/>
    <s v="Low Performer"/>
    <s v="Review Cause Effect"/>
  </r>
  <r>
    <n v="567"/>
    <x v="145"/>
    <x v="3"/>
    <x v="2"/>
    <s v="jennifer.smith@company.com"/>
    <s v="554-172-6840"/>
    <x v="406"/>
    <x v="409"/>
    <x v="406"/>
    <x v="408"/>
    <x v="409"/>
    <s v="Low Performer"/>
    <s v="Review Cause Effect"/>
  </r>
  <r>
    <n v="184"/>
    <x v="19"/>
    <x v="5"/>
    <x v="1"/>
    <s v="susanwright@company.com"/>
    <s v="555-379-8361"/>
    <x v="407"/>
    <x v="410"/>
    <x v="407"/>
    <x v="409"/>
    <x v="410"/>
    <s v="Low Performer"/>
    <s v="Review Cause Effect"/>
  </r>
  <r>
    <n v="307"/>
    <x v="74"/>
    <x v="6"/>
    <x v="1"/>
    <s v="susan.rodriguez@company.com"/>
    <s v="555-997-5190"/>
    <x v="408"/>
    <x v="411"/>
    <x v="408"/>
    <x v="410"/>
    <x v="411"/>
    <s v="Low Performer"/>
    <s v="Review Cause Effect"/>
  </r>
  <r>
    <n v="336"/>
    <x v="110"/>
    <x v="2"/>
    <x v="3"/>
    <s v="william johnson@company.com"/>
    <s v="586-998-2921"/>
    <x v="409"/>
    <x v="412"/>
    <x v="409"/>
    <x v="411"/>
    <x v="412"/>
    <s v="Low Performer"/>
    <s v="Review Cause Effect"/>
  </r>
  <r>
    <n v="464"/>
    <x v="179"/>
    <x v="3"/>
    <x v="2"/>
    <s v="richard.brown@company.com"/>
    <s v="555-396-9037"/>
    <x v="410"/>
    <x v="413"/>
    <x v="410"/>
    <x v="412"/>
    <x v="413"/>
    <s v="Low Performer"/>
    <s v="Review Cause Effect"/>
  </r>
  <r>
    <n v="175"/>
    <x v="45"/>
    <x v="2"/>
    <x v="0"/>
    <s v="richard.rodriguez@company.com"/>
    <s v="703-510-9584"/>
    <x v="411"/>
    <x v="414"/>
    <x v="411"/>
    <x v="413"/>
    <x v="414"/>
    <s v="Low Performer"/>
    <s v="Review Cause Effect"/>
  </r>
  <r>
    <n v="469"/>
    <x v="37"/>
    <x v="5"/>
    <x v="3"/>
    <s v="jenniferrodriguez@company.com"/>
    <s v="711-635-6604"/>
    <x v="412"/>
    <x v="415"/>
    <x v="412"/>
    <x v="414"/>
    <x v="415"/>
    <s v="Low Performer"/>
    <s v="Review Cause Effect"/>
  </r>
  <r>
    <n v="168"/>
    <x v="74"/>
    <x v="0"/>
    <x v="2"/>
    <s v="susan rodriguez@company.com"/>
    <s v="945-420-7717"/>
    <x v="413"/>
    <x v="416"/>
    <x v="413"/>
    <x v="415"/>
    <x v="416"/>
    <s v="Low Performer"/>
    <s v="Review Cause Effect"/>
  </r>
  <r>
    <n v="375"/>
    <x v="147"/>
    <x v="6"/>
    <x v="0"/>
    <s v="michaelo’connel@company.com"/>
    <s v="555-636-9151"/>
    <x v="414"/>
    <x v="417"/>
    <x v="414"/>
    <x v="416"/>
    <x v="417"/>
    <s v="Low Performer"/>
    <s v="Review Cause Effect"/>
  </r>
  <r>
    <n v="186"/>
    <x v="80"/>
    <x v="2"/>
    <x v="3"/>
    <s v="johno’connel@company.com"/>
    <s v="555-955-3449"/>
    <x v="415"/>
    <x v="418"/>
    <x v="415"/>
    <x v="417"/>
    <x v="418"/>
    <s v="Low Performer"/>
    <s v="Review Cause Effect"/>
  </r>
  <r>
    <n v="358"/>
    <x v="170"/>
    <x v="4"/>
    <x v="2"/>
    <s v="anna.anderson@company.com"/>
    <s v="837-423-8972"/>
    <x v="416"/>
    <x v="419"/>
    <x v="416"/>
    <x v="418"/>
    <x v="419"/>
    <s v="Low Performer"/>
    <s v="Review Cause Effect"/>
  </r>
  <r>
    <n v="509"/>
    <x v="177"/>
    <x v="1"/>
    <x v="1"/>
    <s v="david_taylor@company.com"/>
    <s v="461-437-8003"/>
    <x v="417"/>
    <x v="420"/>
    <x v="417"/>
    <x v="419"/>
    <x v="420"/>
    <s v="Low Performer"/>
    <s v="Review Cause Effect"/>
  </r>
  <r>
    <n v="130"/>
    <x v="68"/>
    <x v="4"/>
    <x v="1"/>
    <s v="john_wilson@company.com"/>
    <s v="555-651-9947"/>
    <x v="418"/>
    <x v="421"/>
    <x v="418"/>
    <x v="420"/>
    <x v="421"/>
    <s v="Low Performer"/>
    <s v="Review Cause Effect"/>
  </r>
  <r>
    <n v="490"/>
    <x v="20"/>
    <x v="2"/>
    <x v="2"/>
    <s v="robert taylor@company.com"/>
    <s v="437-952-7388"/>
    <x v="419"/>
    <x v="422"/>
    <x v="419"/>
    <x v="421"/>
    <x v="422"/>
    <s v="Low Performer"/>
    <s v="Review Cause Effect"/>
  </r>
  <r>
    <n v="497"/>
    <x v="187"/>
    <x v="1"/>
    <x v="0"/>
    <s v="mary wilson@company.com"/>
    <s v="555-366-3445"/>
    <x v="420"/>
    <x v="423"/>
    <x v="420"/>
    <x v="422"/>
    <x v="423"/>
    <s v="Low Performer"/>
    <s v="Review Cause Effect"/>
  </r>
  <r>
    <n v="531"/>
    <x v="132"/>
    <x v="4"/>
    <x v="1"/>
    <s v="patriciagarcia@company.com"/>
    <s v="100-895-8266"/>
    <x v="421"/>
    <x v="424"/>
    <x v="421"/>
    <x v="423"/>
    <x v="424"/>
    <s v="Low Performer"/>
    <s v="Review Cause Effect"/>
  </r>
  <r>
    <n v="580"/>
    <x v="99"/>
    <x v="3"/>
    <x v="0"/>
    <s v="james.adams@company.com"/>
    <s v="555-759-1648"/>
    <x v="422"/>
    <x v="425"/>
    <x v="422"/>
    <x v="424"/>
    <x v="425"/>
    <s v="Low Performer"/>
    <s v="Review Cause Effect"/>
  </r>
  <r>
    <n v="212"/>
    <x v="50"/>
    <x v="3"/>
    <x v="0"/>
    <s v="lindaadams@company.com"/>
    <s v="533-476-9475"/>
    <x v="423"/>
    <x v="426"/>
    <x v="423"/>
    <x v="425"/>
    <x v="426"/>
    <s v="Low Performer"/>
    <s v="Review Cause Effect"/>
  </r>
  <r>
    <n v="546"/>
    <x v="204"/>
    <x v="4"/>
    <x v="0"/>
    <s v="mary_davis@company.com"/>
    <s v="299-442-2340"/>
    <x v="424"/>
    <x v="427"/>
    <x v="424"/>
    <x v="426"/>
    <x v="427"/>
    <s v="Low Performer"/>
    <s v="Review Cause Effect"/>
  </r>
  <r>
    <n v="272"/>
    <x v="0"/>
    <x v="3"/>
    <x v="1"/>
    <s v="davidwright@company.com"/>
    <s v="555-888-4401"/>
    <x v="425"/>
    <x v="428"/>
    <x v="425"/>
    <x v="427"/>
    <x v="428"/>
    <s v="Low Performer"/>
    <s v="Review Cause Effect"/>
  </r>
  <r>
    <n v="214"/>
    <x v="182"/>
    <x v="0"/>
    <x v="0"/>
    <s v="anna wilson@company.com"/>
    <s v="555-435-2421"/>
    <x v="186"/>
    <x v="429"/>
    <x v="426"/>
    <x v="428"/>
    <x v="429"/>
    <s v="Low Performer"/>
    <s v="Review Cause Effect"/>
  </r>
  <r>
    <n v="256"/>
    <x v="8"/>
    <x v="1"/>
    <x v="2"/>
    <s v="patricia martinez@company.com"/>
    <s v="907-451-1793"/>
    <x v="426"/>
    <x v="430"/>
    <x v="427"/>
    <x v="429"/>
    <x v="430"/>
    <s v="Low Performer"/>
    <s v="Review Cause Effect"/>
  </r>
  <r>
    <n v="470"/>
    <x v="5"/>
    <x v="4"/>
    <x v="1"/>
    <s v="david.o’connel@company.com"/>
    <s v="555-133-9412"/>
    <x v="427"/>
    <x v="431"/>
    <x v="428"/>
    <x v="430"/>
    <x v="431"/>
    <s v="Low Performer"/>
    <s v="Review Cause Effect"/>
  </r>
  <r>
    <n v="427"/>
    <x v="135"/>
    <x v="6"/>
    <x v="1"/>
    <s v="robert smith@company.com"/>
    <s v="308-270-9180"/>
    <x v="428"/>
    <x v="432"/>
    <x v="429"/>
    <x v="431"/>
    <x v="432"/>
    <s v="Low Performer"/>
    <s v="Review Cause Effect"/>
  </r>
  <r>
    <n v="515"/>
    <x v="103"/>
    <x v="6"/>
    <x v="0"/>
    <s v="john.wright@company.com"/>
    <s v="854-692-5764"/>
    <x v="429"/>
    <x v="433"/>
    <x v="430"/>
    <x v="432"/>
    <x v="433"/>
    <s v="Low Performer"/>
    <s v="Review Cause Effect"/>
  </r>
  <r>
    <n v="512"/>
    <x v="205"/>
    <x v="2"/>
    <x v="0"/>
    <s v="elizabeth.smith@company.com"/>
    <s v="555-989-8974"/>
    <x v="430"/>
    <x v="434"/>
    <x v="431"/>
    <x v="433"/>
    <x v="434"/>
    <s v="Low Performer"/>
    <s v="Review Cause Effect"/>
  </r>
  <r>
    <n v="420"/>
    <x v="132"/>
    <x v="4"/>
    <x v="3"/>
    <s v="patricia.garcia@company.com"/>
    <s v="556-301-8598"/>
    <x v="431"/>
    <x v="435"/>
    <x v="432"/>
    <x v="434"/>
    <x v="435"/>
    <s v="Low Performer"/>
    <s v="Review Cause Effect"/>
  </r>
  <r>
    <n v="458"/>
    <x v="105"/>
    <x v="0"/>
    <x v="2"/>
    <s v="annalopez@company.com"/>
    <s v="555-551-5266"/>
    <x v="432"/>
    <x v="142"/>
    <x v="433"/>
    <x v="435"/>
    <x v="436"/>
    <s v="Low Performer"/>
    <s v="Review Cause Effect"/>
  </r>
  <r>
    <n v="132"/>
    <x v="139"/>
    <x v="5"/>
    <x v="0"/>
    <s v="michael_wilson@company.com"/>
    <s v="555-954-2341"/>
    <x v="433"/>
    <x v="436"/>
    <x v="434"/>
    <x v="436"/>
    <x v="437"/>
    <s v="Low Performer"/>
    <s v="Review Cause Effect"/>
  </r>
  <r>
    <n v="482"/>
    <x v="206"/>
    <x v="5"/>
    <x v="2"/>
    <s v="patricia.wright@company.com"/>
    <s v="555-531-5368"/>
    <x v="434"/>
    <x v="437"/>
    <x v="435"/>
    <x v="437"/>
    <x v="438"/>
    <s v="Low Performer"/>
    <s v="Review Cause Effect"/>
  </r>
  <r>
    <n v="402"/>
    <x v="186"/>
    <x v="3"/>
    <x v="1"/>
    <s v="mary.lopez@company.com"/>
    <s v="555-439-2436"/>
    <x v="435"/>
    <x v="438"/>
    <x v="436"/>
    <x v="438"/>
    <x v="439"/>
    <s v="Low Performer"/>
    <s v="Review Cause Effect"/>
  </r>
  <r>
    <n v="302"/>
    <x v="67"/>
    <x v="5"/>
    <x v="3"/>
    <s v="elizabeth martinez@company.com"/>
    <s v="555-583-4187"/>
    <x v="436"/>
    <x v="439"/>
    <x v="437"/>
    <x v="439"/>
    <x v="440"/>
    <s v="Low Performer"/>
    <s v="Review Cause Effect"/>
  </r>
  <r>
    <n v="224"/>
    <x v="79"/>
    <x v="3"/>
    <x v="0"/>
    <s v="patriciawilson@company.com"/>
    <s v="945-157-7335"/>
    <x v="437"/>
    <x v="440"/>
    <x v="71"/>
    <x v="440"/>
    <x v="441"/>
    <s v="Low Performer"/>
    <s v="Review Cause Effect"/>
  </r>
  <r>
    <n v="451"/>
    <x v="107"/>
    <x v="4"/>
    <x v="2"/>
    <s v="john.thomas@company.com"/>
    <s v="555-741-8607"/>
    <x v="438"/>
    <x v="441"/>
    <x v="438"/>
    <x v="441"/>
    <x v="442"/>
    <s v="Low Performer"/>
    <s v="Review Cause Effect"/>
  </r>
  <r>
    <n v="297"/>
    <x v="120"/>
    <x v="6"/>
    <x v="2"/>
    <s v="james.miller@company.com"/>
    <s v="378-043-9666"/>
    <x v="439"/>
    <x v="442"/>
    <x v="439"/>
    <x v="442"/>
    <x v="443"/>
    <s v="Low Performer"/>
    <s v="Review Cause Effect"/>
  </r>
  <r>
    <n v="426"/>
    <x v="134"/>
    <x v="6"/>
    <x v="0"/>
    <s v="robert adams@company.com"/>
    <s v="555-393-8942"/>
    <x v="440"/>
    <x v="443"/>
    <x v="440"/>
    <x v="443"/>
    <x v="444"/>
    <s v="Low Performer"/>
    <s v="Review Cause Effect"/>
  </r>
  <r>
    <n v="121"/>
    <x v="102"/>
    <x v="3"/>
    <x v="1"/>
    <s v="linda.davis@company.com"/>
    <s v="979-581-4644"/>
    <x v="441"/>
    <x v="444"/>
    <x v="441"/>
    <x v="444"/>
    <x v="445"/>
    <s v="Low Performer"/>
    <s v="Review Cause Effect"/>
  </r>
  <r>
    <n v="231"/>
    <x v="87"/>
    <x v="3"/>
    <x v="3"/>
    <s v="david_miller@company.com"/>
    <s v="555-373-7502"/>
    <x v="442"/>
    <x v="445"/>
    <x v="442"/>
    <x v="445"/>
    <x v="446"/>
    <s v="Low Performer"/>
    <s v="Review Cause Effect"/>
  </r>
  <r>
    <n v="180"/>
    <x v="14"/>
    <x v="6"/>
    <x v="2"/>
    <s v="patricia_davis@company.com"/>
    <s v="555-417-7171"/>
    <x v="443"/>
    <x v="446"/>
    <x v="443"/>
    <x v="446"/>
    <x v="447"/>
    <s v="Low Performer"/>
    <s v="Review Cause Effect"/>
  </r>
  <r>
    <n v="313"/>
    <x v="130"/>
    <x v="3"/>
    <x v="0"/>
    <s v="jennifer_thomas@company.com"/>
    <s v="555-726-1472"/>
    <x v="444"/>
    <x v="447"/>
    <x v="444"/>
    <x v="447"/>
    <x v="448"/>
    <s v="Low Performer"/>
    <s v="Review Cause Effect"/>
  </r>
  <r>
    <n v="356"/>
    <x v="154"/>
    <x v="2"/>
    <x v="0"/>
    <s v="anna_thomas@company.com"/>
    <s v="211-540-6331"/>
    <x v="445"/>
    <x v="448"/>
    <x v="445"/>
    <x v="448"/>
    <x v="449"/>
    <s v="Low Performer"/>
    <s v="Review Cause Effect"/>
  </r>
  <r>
    <n v="430"/>
    <x v="207"/>
    <x v="5"/>
    <x v="3"/>
    <s v="robert.martinez@company.com"/>
    <s v="555-851-4193"/>
    <x v="446"/>
    <x v="449"/>
    <x v="446"/>
    <x v="449"/>
    <x v="450"/>
    <s v="Low Performer"/>
    <s v="Review Cause Effect"/>
  </r>
  <r>
    <n v="250"/>
    <x v="208"/>
    <x v="6"/>
    <x v="0"/>
    <s v="jennifer.anderson@company.com"/>
    <s v="555-678-1505"/>
    <x v="447"/>
    <x v="450"/>
    <x v="447"/>
    <x v="450"/>
    <x v="451"/>
    <s v="Low Performer"/>
    <s v="Review Cause Effect"/>
  </r>
  <r>
    <n v="245"/>
    <x v="118"/>
    <x v="2"/>
    <x v="3"/>
    <s v="richard.martinez@company.com"/>
    <s v="418-037-8138"/>
    <x v="448"/>
    <x v="451"/>
    <x v="448"/>
    <x v="451"/>
    <x v="452"/>
    <s v="Low Performer"/>
    <s v="Review Cause Effect"/>
  </r>
  <r>
    <n v="575"/>
    <x v="167"/>
    <x v="4"/>
    <x v="1"/>
    <s v="william garcia@company.com"/>
    <s v="555-344-4276"/>
    <x v="449"/>
    <x v="452"/>
    <x v="449"/>
    <x v="452"/>
    <x v="453"/>
    <s v="Low Performer"/>
    <s v="Review Cause Effect"/>
  </r>
  <r>
    <n v="361"/>
    <x v="140"/>
    <x v="5"/>
    <x v="2"/>
    <s v="peter_lopez@company.com"/>
    <s v="827-373-7479"/>
    <x v="450"/>
    <x v="453"/>
    <x v="450"/>
    <x v="453"/>
    <x v="454"/>
    <s v="Low Performer"/>
    <s v="Review Cause Effect"/>
  </r>
  <r>
    <n v="576"/>
    <x v="62"/>
    <x v="2"/>
    <x v="2"/>
    <s v="peter.miller@company.com"/>
    <s v="368-295-1628"/>
    <x v="451"/>
    <x v="454"/>
    <x v="451"/>
    <x v="454"/>
    <x v="455"/>
    <s v="Low Performer"/>
    <s v="Review Cause Effect"/>
  </r>
  <r>
    <n v="221"/>
    <x v="209"/>
    <x v="3"/>
    <x v="0"/>
    <s v="william_miller@company.com"/>
    <s v="555-258-5516"/>
    <x v="452"/>
    <x v="455"/>
    <x v="452"/>
    <x v="455"/>
    <x v="456"/>
    <s v="Low Performer"/>
    <s v="Review Cause Effect"/>
  </r>
  <r>
    <n v="112"/>
    <x v="148"/>
    <x v="6"/>
    <x v="1"/>
    <s v="richard.adams@company.com"/>
    <s v="555-294-9786"/>
    <x v="453"/>
    <x v="456"/>
    <x v="453"/>
    <x v="456"/>
    <x v="457"/>
    <s v="Low Performer"/>
    <s v="Review Cause Effect"/>
  </r>
  <r>
    <n v="314"/>
    <x v="210"/>
    <x v="1"/>
    <x v="1"/>
    <s v="linda.martinez@company.com"/>
    <s v="555-111-3571"/>
    <x v="454"/>
    <x v="457"/>
    <x v="454"/>
    <x v="457"/>
    <x v="458"/>
    <s v="Low Performer"/>
    <s v="Review Cause Effect"/>
  </r>
  <r>
    <n v="283"/>
    <x v="164"/>
    <x v="5"/>
    <x v="2"/>
    <s v="linda.rodriguez@company.com"/>
    <s v="555-190-6500"/>
    <x v="455"/>
    <x v="458"/>
    <x v="455"/>
    <x v="458"/>
    <x v="459"/>
    <s v="Low Performer"/>
    <s v="Review Cause Effect"/>
  </r>
  <r>
    <n v="579"/>
    <x v="209"/>
    <x v="1"/>
    <x v="1"/>
    <s v="williammiller@company.com"/>
    <s v="555-875-4990"/>
    <x v="456"/>
    <x v="459"/>
    <x v="456"/>
    <x v="459"/>
    <x v="460"/>
    <s v="Low Performer"/>
    <s v="Review Cause Effect"/>
  </r>
  <r>
    <n v="210"/>
    <x v="211"/>
    <x v="6"/>
    <x v="0"/>
    <s v="richarddavis@company.com"/>
    <s v="204-134-9374"/>
    <x v="457"/>
    <x v="460"/>
    <x v="457"/>
    <x v="460"/>
    <x v="461"/>
    <s v="Low Performer"/>
    <s v="Review Cause Effect"/>
  </r>
  <r>
    <n v="468"/>
    <x v="180"/>
    <x v="1"/>
    <x v="3"/>
    <s v="john_brown@company.com"/>
    <s v="555-258-9247"/>
    <x v="458"/>
    <x v="461"/>
    <x v="458"/>
    <x v="461"/>
    <x v="462"/>
    <s v="Low Performer"/>
    <s v="Review Cause Effect"/>
  </r>
  <r>
    <n v="235"/>
    <x v="78"/>
    <x v="6"/>
    <x v="3"/>
    <s v="michael.smith@company.com"/>
    <s v="464-666-7150"/>
    <x v="459"/>
    <x v="462"/>
    <x v="459"/>
    <x v="462"/>
    <x v="463"/>
    <s v="Low Performer"/>
    <s v="Review Cause Effect"/>
  </r>
  <r>
    <n v="364"/>
    <x v="154"/>
    <x v="6"/>
    <x v="0"/>
    <s v="anna thomas@company.com"/>
    <s v="555-652-4721"/>
    <x v="460"/>
    <x v="463"/>
    <x v="460"/>
    <x v="463"/>
    <x v="464"/>
    <s v="Low Performer"/>
    <s v="Review Cause Effect"/>
  </r>
  <r>
    <n v="573"/>
    <x v="130"/>
    <x v="2"/>
    <x v="1"/>
    <s v="jennifer thomas@company.com"/>
    <s v="555-772-4969"/>
    <x v="461"/>
    <x v="464"/>
    <x v="461"/>
    <x v="464"/>
    <x v="465"/>
    <s v="Low Performer"/>
    <s v="Review Cause Effect"/>
  </r>
  <r>
    <n v="209"/>
    <x v="125"/>
    <x v="5"/>
    <x v="0"/>
    <s v="james_taylor@company.com"/>
    <s v="555-488-7464"/>
    <x v="462"/>
    <x v="465"/>
    <x v="462"/>
    <x v="465"/>
    <x v="466"/>
    <s v="Low Performer"/>
    <s v="Review Cause Effect"/>
  </r>
  <r>
    <n v="362"/>
    <x v="104"/>
    <x v="3"/>
    <x v="2"/>
    <s v="robert.o’connel@company.com"/>
    <s v="555-205-2565"/>
    <x v="463"/>
    <x v="466"/>
    <x v="463"/>
    <x v="466"/>
    <x v="467"/>
    <s v="Low Performer"/>
    <s v="Review Cause Effect"/>
  </r>
  <r>
    <n v="536"/>
    <x v="57"/>
    <x v="3"/>
    <x v="2"/>
    <s v="anna_garcia@company.com"/>
    <s v="555-886-2468"/>
    <x v="464"/>
    <x v="467"/>
    <x v="464"/>
    <x v="467"/>
    <x v="468"/>
    <s v="Low Performer"/>
    <s v="Review Cause Effect"/>
  </r>
  <r>
    <n v="233"/>
    <x v="212"/>
    <x v="2"/>
    <x v="1"/>
    <s v="jennifer.davis@company.com"/>
    <s v="555-116-4394"/>
    <x v="465"/>
    <x v="468"/>
    <x v="465"/>
    <x v="468"/>
    <x v="469"/>
    <s v="Low Performer"/>
    <s v="Review Cause Effect"/>
  </r>
  <r>
    <n v="167"/>
    <x v="6"/>
    <x v="4"/>
    <x v="2"/>
    <s v="james.anderson@company.com"/>
    <s v="555-447-8430"/>
    <x v="466"/>
    <x v="469"/>
    <x v="466"/>
    <x v="469"/>
    <x v="470"/>
    <s v="Low Performer"/>
    <s v="Review Cause Effect"/>
  </r>
  <r>
    <n v="571"/>
    <x v="24"/>
    <x v="6"/>
    <x v="1"/>
    <s v="robert.garcia@company.com"/>
    <s v="555-873-2723"/>
    <x v="467"/>
    <x v="470"/>
    <x v="467"/>
    <x v="470"/>
    <x v="471"/>
    <s v="Low Performer"/>
    <s v="Review Cause Effect"/>
  </r>
  <r>
    <n v="282"/>
    <x v="213"/>
    <x v="6"/>
    <x v="2"/>
    <s v="barbara.miller@company.com"/>
    <s v="362-586-2062"/>
    <x v="468"/>
    <x v="471"/>
    <x v="468"/>
    <x v="471"/>
    <x v="472"/>
    <s v="Low Performer"/>
    <s v="Review Cause Effect"/>
  </r>
  <r>
    <n v="179"/>
    <x v="140"/>
    <x v="2"/>
    <x v="2"/>
    <s v="peter.lopez@company.com"/>
    <s v="555-472-7108"/>
    <x v="469"/>
    <x v="472"/>
    <x v="469"/>
    <x v="472"/>
    <x v="473"/>
    <s v="Low Performer"/>
    <s v="Review Cause Effect"/>
  </r>
  <r>
    <n v="550"/>
    <x v="19"/>
    <x v="2"/>
    <x v="1"/>
    <s v="susan wright@company.com"/>
    <s v="686-229-9337"/>
    <x v="470"/>
    <x v="473"/>
    <x v="470"/>
    <x v="473"/>
    <x v="474"/>
    <s v="Low Performer"/>
    <s v="Review Cause Effect"/>
  </r>
  <r>
    <n v="113"/>
    <x v="98"/>
    <x v="2"/>
    <x v="1"/>
    <s v="richard.wright@company.com"/>
    <s v="270-516-8956"/>
    <x v="471"/>
    <x v="474"/>
    <x v="471"/>
    <x v="474"/>
    <x v="475"/>
    <s v="Low Performer"/>
    <s v="Review Cause Effect"/>
  </r>
  <r>
    <n v="271"/>
    <x v="214"/>
    <x v="2"/>
    <x v="1"/>
    <s v="david.wilson@company.com"/>
    <s v="555-971-6161"/>
    <x v="472"/>
    <x v="475"/>
    <x v="472"/>
    <x v="475"/>
    <x v="476"/>
    <s v="Low Performer"/>
    <s v="Review Cause Effect"/>
  </r>
  <r>
    <n v="389"/>
    <x v="171"/>
    <x v="5"/>
    <x v="0"/>
    <s v="susansmith@company.com"/>
    <s v="944-730-4615"/>
    <x v="473"/>
    <x v="476"/>
    <x v="473"/>
    <x v="476"/>
    <x v="477"/>
    <s v="Low Performer"/>
    <s v="Review Cause Effect"/>
  </r>
  <r>
    <n v="279"/>
    <x v="136"/>
    <x v="1"/>
    <x v="3"/>
    <s v="anna.miller@company.com"/>
    <s v="946-275-0778"/>
    <x v="474"/>
    <x v="477"/>
    <x v="474"/>
    <x v="477"/>
    <x v="478"/>
    <s v="Low Performer"/>
    <s v="Review Cause Effect"/>
  </r>
  <r>
    <n v="499"/>
    <x v="215"/>
    <x v="2"/>
    <x v="1"/>
    <s v="barbara.thomas@company.com"/>
    <s v="555-236-6296"/>
    <x v="475"/>
    <x v="478"/>
    <x v="475"/>
    <x v="478"/>
    <x v="479"/>
    <s v="Low Performer"/>
    <s v="Review Cause Effect"/>
  </r>
  <r>
    <n v="475"/>
    <x v="46"/>
    <x v="2"/>
    <x v="0"/>
    <s v="barbara.lopez@company.com"/>
    <s v="548-635-2392"/>
    <x v="476"/>
    <x v="479"/>
    <x v="476"/>
    <x v="479"/>
    <x v="480"/>
    <s v="Low Performer"/>
    <s v="Review Cause Effect"/>
  </r>
  <r>
    <n v="530"/>
    <x v="69"/>
    <x v="4"/>
    <x v="0"/>
    <s v="susan.johnson@company.com"/>
    <s v="224-378-2053"/>
    <x v="477"/>
    <x v="480"/>
    <x v="477"/>
    <x v="480"/>
    <x v="481"/>
    <s v="Low Performer"/>
    <s v="Review Cause Effect"/>
  </r>
  <r>
    <n v="303"/>
    <x v="100"/>
    <x v="5"/>
    <x v="0"/>
    <s v="david johnson@company.com"/>
    <s v="555-568-3346"/>
    <x v="478"/>
    <x v="481"/>
    <x v="478"/>
    <x v="481"/>
    <x v="482"/>
    <s v="Low Performer"/>
    <s v="Review Cause Effect"/>
  </r>
  <r>
    <n v="174"/>
    <x v="47"/>
    <x v="0"/>
    <x v="1"/>
    <s v="peter.wilson@company.com"/>
    <s v="555-119-8532"/>
    <x v="479"/>
    <x v="482"/>
    <x v="479"/>
    <x v="482"/>
    <x v="483"/>
    <s v="Low Performer"/>
    <s v="Review Cause Effect"/>
  </r>
  <r>
    <n v="309"/>
    <x v="116"/>
    <x v="3"/>
    <x v="2"/>
    <s v="susan_taylor@company.com"/>
    <s v="555-402-3627"/>
    <x v="480"/>
    <x v="483"/>
    <x v="480"/>
    <x v="483"/>
    <x v="484"/>
    <s v="Low Performer"/>
    <s v="Review Cause Effect"/>
  </r>
  <r>
    <n v="177"/>
    <x v="118"/>
    <x v="0"/>
    <x v="3"/>
    <s v="richardmartinez@company.com"/>
    <s v="555-705-1920"/>
    <x v="481"/>
    <x v="484"/>
    <x v="481"/>
    <x v="484"/>
    <x v="485"/>
    <s v="Low Performer"/>
    <s v="Review Cause Effect"/>
  </r>
  <r>
    <n v="337"/>
    <x v="106"/>
    <x v="0"/>
    <x v="2"/>
    <s v="john miller@company.com"/>
    <s v="555-243-8310"/>
    <x v="482"/>
    <x v="485"/>
    <x v="482"/>
    <x v="485"/>
    <x v="486"/>
    <s v="Low Performer"/>
    <s v="Review Cause Effect"/>
  </r>
  <r>
    <n v="349"/>
    <x v="167"/>
    <x v="6"/>
    <x v="1"/>
    <s v="williamgarcia@company.com"/>
    <s v="549-110-4304"/>
    <x v="483"/>
    <x v="486"/>
    <x v="483"/>
    <x v="486"/>
    <x v="487"/>
    <s v="Low Performer"/>
    <s v="Review Cause Effect"/>
  </r>
  <r>
    <n v="172"/>
    <x v="38"/>
    <x v="5"/>
    <x v="2"/>
    <s v="richard anderson@company.com"/>
    <s v="555-639-6053"/>
    <x v="484"/>
    <x v="487"/>
    <x v="484"/>
    <x v="487"/>
    <x v="488"/>
    <s v="Low Performer"/>
    <s v="Review Cause Effect"/>
  </r>
  <r>
    <n v="285"/>
    <x v="190"/>
    <x v="4"/>
    <x v="2"/>
    <s v="michael.lopez@company.com"/>
    <s v="555-176-9962"/>
    <x v="485"/>
    <x v="488"/>
    <x v="485"/>
    <x v="488"/>
    <x v="489"/>
    <s v="Low Performer"/>
    <s v="Review Cause Effect"/>
  </r>
  <r>
    <n v="105"/>
    <x v="210"/>
    <x v="0"/>
    <x v="1"/>
    <s v="lindamartinez@company.com"/>
    <s v="555-316-6155"/>
    <x v="486"/>
    <x v="489"/>
    <x v="486"/>
    <x v="489"/>
    <x v="490"/>
    <s v="Low Performer"/>
    <s v="Review Cause Effect"/>
  </r>
  <r>
    <n v="590"/>
    <x v="186"/>
    <x v="0"/>
    <x v="2"/>
    <s v="mary_lopez@company.com"/>
    <s v="555-992-7697"/>
    <x v="487"/>
    <x v="490"/>
    <x v="487"/>
    <x v="490"/>
    <x v="491"/>
    <s v="Low Performer"/>
    <s v="Review Cause Effect"/>
  </r>
  <r>
    <n v="284"/>
    <x v="141"/>
    <x v="4"/>
    <x v="0"/>
    <s v="elizabeth.lopez@company.com"/>
    <s v="555-907-4695"/>
    <x v="488"/>
    <x v="491"/>
    <x v="488"/>
    <x v="491"/>
    <x v="492"/>
    <s v="Low Performer"/>
    <s v="Review Cause Effect"/>
  </r>
  <r>
    <n v="321"/>
    <x v="89"/>
    <x v="1"/>
    <x v="3"/>
    <s v="david.lopez@company.com"/>
    <s v="447-164-2620"/>
    <x v="489"/>
    <x v="492"/>
    <x v="489"/>
    <x v="492"/>
    <x v="493"/>
    <s v="Low Performer"/>
    <s v="Review Cause Effect"/>
  </r>
  <r>
    <n v="394"/>
    <x v="117"/>
    <x v="3"/>
    <x v="1"/>
    <s v="linda_miller@company.com"/>
    <s v="237-614-8680"/>
    <x v="490"/>
    <x v="493"/>
    <x v="490"/>
    <x v="493"/>
    <x v="494"/>
    <s v="Low Performer"/>
    <s v="Review Cause Effect"/>
  </r>
  <r>
    <n v="487"/>
    <x v="29"/>
    <x v="5"/>
    <x v="1"/>
    <s v="elizabeth.anderson@company.com"/>
    <s v="555-308-7757"/>
    <x v="491"/>
    <x v="494"/>
    <x v="491"/>
    <x v="494"/>
    <x v="495"/>
    <s v="Low Performer"/>
    <s v="Review Cause Effect"/>
  </r>
  <r>
    <n v="581"/>
    <x v="117"/>
    <x v="1"/>
    <x v="0"/>
    <s v="linda miller@company.com"/>
    <s v="552-744-1099"/>
    <x v="492"/>
    <x v="495"/>
    <x v="492"/>
    <x v="495"/>
    <x v="496"/>
    <s v="Low Performer"/>
    <s v="Review Cause Effect"/>
  </r>
  <r>
    <n v="535"/>
    <x v="197"/>
    <x v="0"/>
    <x v="3"/>
    <s v="richard.o’connel@company.com"/>
    <s v="555-284-7798"/>
    <x v="493"/>
    <x v="496"/>
    <x v="493"/>
    <x v="496"/>
    <x v="497"/>
    <s v="Low Performer"/>
    <s v="Review Cause Effect"/>
  </r>
  <r>
    <n v="262"/>
    <x v="216"/>
    <x v="5"/>
    <x v="3"/>
    <s v="petersmith@company.com"/>
    <s v="555-496-7895"/>
    <x v="494"/>
    <x v="497"/>
    <x v="494"/>
    <x v="497"/>
    <x v="498"/>
    <s v="Low Performer"/>
    <s v="Review Cause Effect"/>
  </r>
  <r>
    <n v="160"/>
    <x v="174"/>
    <x v="2"/>
    <x v="2"/>
    <s v="william.rodriguez@company.com"/>
    <s v="555-125-6374"/>
    <x v="495"/>
    <x v="498"/>
    <x v="495"/>
    <x v="498"/>
    <x v="499"/>
    <s v="Low Performer"/>
    <s v="Review Cause Effe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024E9D-B70A-4700-B722-744CF1C5C21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4" firstHeaderRow="0" firstDataRow="1" firstDataCol="1"/>
  <pivotFields count="13">
    <pivotField dataField="1" showAll="0"/>
    <pivotField axis="axisRow" showAll="0" measureFilter="1">
      <items count="218">
        <item sd="0" x="56"/>
        <item x="170"/>
        <item sd="0" x="166"/>
        <item x="194"/>
        <item x="57"/>
        <item x="65"/>
        <item x="105"/>
        <item x="123"/>
        <item x="136"/>
        <item x="18"/>
        <item x="96"/>
        <item x="183"/>
        <item x="76"/>
        <item x="154"/>
        <item x="182"/>
        <item x="195"/>
        <item x="21"/>
        <item x="52"/>
        <item x="192"/>
        <item x="46"/>
        <item x="42"/>
        <item x="213"/>
        <item x="15"/>
        <item x="59"/>
        <item x="81"/>
        <item x="22"/>
        <item x="215"/>
        <item x="39"/>
        <item x="86"/>
        <item x="16"/>
        <item x="61"/>
        <item x="112"/>
        <item x="100"/>
        <item x="89"/>
        <item x="87"/>
        <item x="5"/>
        <item x="199"/>
        <item x="177"/>
        <item x="191"/>
        <item x="214"/>
        <item x="0"/>
        <item x="29"/>
        <item x="23"/>
        <item x="97"/>
        <item x="141"/>
        <item x="67"/>
        <item x="2"/>
        <item x="35"/>
        <item x="205"/>
        <item x="32"/>
        <item x="124"/>
        <item x="10"/>
        <item x="3"/>
        <item x="99"/>
        <item x="6"/>
        <item x="13"/>
        <item x="88"/>
        <item x="173"/>
        <item x="133"/>
        <item x="12"/>
        <item x="120"/>
        <item x="151"/>
        <item x="163"/>
        <item x="193"/>
        <item x="125"/>
        <item x="153"/>
        <item x="4"/>
        <item x="150"/>
        <item x="27"/>
        <item x="208"/>
        <item x="73"/>
        <item x="212"/>
        <item x="114"/>
        <item x="138"/>
        <item x="131"/>
        <item x="108"/>
        <item x="37"/>
        <item x="145"/>
        <item x="109"/>
        <item x="130"/>
        <item x="25"/>
        <item x="40"/>
        <item x="75"/>
        <item x="7"/>
        <item x="180"/>
        <item x="94"/>
        <item x="137"/>
        <item x="64"/>
        <item x="106"/>
        <item x="80"/>
        <item x="178"/>
        <item x="107"/>
        <item x="68"/>
        <item x="103"/>
        <item x="50"/>
        <item x="102"/>
        <item x="172"/>
        <item x="162"/>
        <item x="210"/>
        <item x="117"/>
        <item x="198"/>
        <item x="164"/>
        <item x="160"/>
        <item x="156"/>
        <item x="55"/>
        <item x="159"/>
        <item x="176"/>
        <item x="185"/>
        <item x="204"/>
        <item x="17"/>
        <item x="85"/>
        <item x="186"/>
        <item x="54"/>
        <item x="51"/>
        <item x="146"/>
        <item x="66"/>
        <item x="149"/>
        <item x="187"/>
        <item x="189"/>
        <item x="119"/>
        <item x="111"/>
        <item x="128"/>
        <item x="161"/>
        <item x="1"/>
        <item x="203"/>
        <item x="190"/>
        <item x="101"/>
        <item x="147"/>
        <item x="95"/>
        <item x="78"/>
        <item x="82"/>
        <item x="53"/>
        <item x="139"/>
        <item x="49"/>
        <item x="70"/>
        <item x="58"/>
        <item x="83"/>
        <item x="14"/>
        <item x="132"/>
        <item x="158"/>
        <item x="165"/>
        <item x="8"/>
        <item x="202"/>
        <item x="91"/>
        <item x="77"/>
        <item x="122"/>
        <item x="144"/>
        <item x="79"/>
        <item x="206"/>
        <item x="126"/>
        <item x="63"/>
        <item x="181"/>
        <item x="84"/>
        <item x="168"/>
        <item x="140"/>
        <item x="30"/>
        <item x="62"/>
        <item x="31"/>
        <item x="44"/>
        <item x="216"/>
        <item x="71"/>
        <item x="47"/>
        <item x="188"/>
        <item x="148"/>
        <item x="38"/>
        <item x="179"/>
        <item x="211"/>
        <item x="201"/>
        <item x="72"/>
        <item x="118"/>
        <item x="197"/>
        <item x="45"/>
        <item x="200"/>
        <item x="155"/>
        <item x="121"/>
        <item x="36"/>
        <item x="98"/>
        <item x="134"/>
        <item x="196"/>
        <item x="152"/>
        <item x="24"/>
        <item x="157"/>
        <item x="34"/>
        <item x="207"/>
        <item x="93"/>
        <item x="104"/>
        <item x="135"/>
        <item x="20"/>
        <item x="92"/>
        <item x="113"/>
        <item x="142"/>
        <item x="90"/>
        <item x="127"/>
        <item x="143"/>
        <item x="11"/>
        <item x="69"/>
        <item x="48"/>
        <item x="129"/>
        <item x="33"/>
        <item x="74"/>
        <item x="171"/>
        <item x="116"/>
        <item x="60"/>
        <item x="115"/>
        <item x="19"/>
        <item x="43"/>
        <item x="28"/>
        <item x="167"/>
        <item x="110"/>
        <item x="175"/>
        <item x="41"/>
        <item x="209"/>
        <item x="184"/>
        <item x="174"/>
        <item x="9"/>
        <item x="26"/>
        <item x="169"/>
        <item t="default"/>
      </items>
    </pivotField>
    <pivotField showAll="0"/>
    <pivotField showAll="0">
      <items count="5">
        <item x="1"/>
        <item x="3"/>
        <item x="0"/>
        <item x="2"/>
        <item t="default"/>
      </items>
    </pivotField>
    <pivotField showAll="0"/>
    <pivotField showAll="0"/>
    <pivotField numFmtId="164" showAll="0"/>
    <pivotField numFmtId="164" showAll="0"/>
    <pivotField numFmtId="164" showAll="0"/>
    <pivotField numFmtId="164" showAll="0"/>
    <pivotField dataField="1" numFmtId="164" showAll="0"/>
    <pivotField showAll="0"/>
    <pivotField showAll="0"/>
  </pivotFields>
  <rowFields count="1">
    <field x="1"/>
  </rowFields>
  <rowItems count="11">
    <i>
      <x v="12"/>
    </i>
    <i>
      <x v="33"/>
    </i>
    <i>
      <x v="35"/>
    </i>
    <i>
      <x v="76"/>
    </i>
    <i>
      <x v="78"/>
    </i>
    <i>
      <x v="134"/>
    </i>
    <i>
      <x v="199"/>
    </i>
    <i>
      <x v="204"/>
    </i>
    <i>
      <x v="207"/>
    </i>
    <i>
      <x v="210"/>
    </i>
    <i t="grand">
      <x/>
    </i>
  </rowItems>
  <colFields count="1">
    <field x="-2"/>
  </colFields>
  <colItems count="2">
    <i>
      <x/>
    </i>
    <i i="1">
      <x v="1"/>
    </i>
  </colItems>
  <dataFields count="2">
    <dataField name="Sum of Employee Total Sales" fld="10" baseField="0" baseItem="0" numFmtId="164"/>
    <dataField name="Sum of Employee ID" fld="0" baseField="0" baseItem="0"/>
  </dataFields>
  <formats count="12">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10">
            <x v="12"/>
            <x v="33"/>
            <x v="35"/>
            <x v="76"/>
            <x v="78"/>
            <x v="134"/>
            <x v="199"/>
            <x v="204"/>
            <x v="207"/>
            <x v="210"/>
          </reference>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10">
            <x v="12"/>
            <x v="33"/>
            <x v="35"/>
            <x v="76"/>
            <x v="78"/>
            <x v="134"/>
            <x v="199"/>
            <x v="204"/>
            <x v="207"/>
            <x v="210"/>
          </reference>
        </references>
      </pivotArea>
    </format>
    <format dxfId="21">
      <pivotArea dataOnly="0" labelOnly="1" grandRow="1" outline="0" fieldPosition="0"/>
    </format>
    <format dxfId="20">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3819C0-641C-4E66-977A-74AB3CF06B32}" name="PivotTable3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11:F19" firstHeaderRow="1" firstDataRow="1" firstDataCol="1"/>
  <pivotFields count="13">
    <pivotField showAll="0"/>
    <pivotField showAll="0">
      <items count="218">
        <item x="56"/>
        <item x="170"/>
        <item x="166"/>
        <item x="194"/>
        <item x="57"/>
        <item x="65"/>
        <item x="105"/>
        <item x="123"/>
        <item x="136"/>
        <item x="18"/>
        <item x="96"/>
        <item x="183"/>
        <item x="76"/>
        <item x="154"/>
        <item x="182"/>
        <item x="195"/>
        <item x="21"/>
        <item x="52"/>
        <item x="192"/>
        <item x="46"/>
        <item x="42"/>
        <item x="213"/>
        <item x="15"/>
        <item x="59"/>
        <item x="81"/>
        <item x="22"/>
        <item x="215"/>
        <item x="39"/>
        <item x="86"/>
        <item x="16"/>
        <item x="61"/>
        <item x="112"/>
        <item x="100"/>
        <item x="89"/>
        <item x="87"/>
        <item x="5"/>
        <item x="199"/>
        <item x="177"/>
        <item x="191"/>
        <item x="214"/>
        <item x="0"/>
        <item x="29"/>
        <item x="23"/>
        <item x="97"/>
        <item x="141"/>
        <item x="67"/>
        <item x="2"/>
        <item x="35"/>
        <item x="205"/>
        <item x="32"/>
        <item x="124"/>
        <item x="10"/>
        <item x="3"/>
        <item x="99"/>
        <item x="6"/>
        <item x="13"/>
        <item x="88"/>
        <item x="173"/>
        <item x="133"/>
        <item x="12"/>
        <item x="120"/>
        <item x="151"/>
        <item x="163"/>
        <item x="193"/>
        <item x="125"/>
        <item x="153"/>
        <item x="4"/>
        <item x="150"/>
        <item x="27"/>
        <item x="208"/>
        <item x="73"/>
        <item x="212"/>
        <item x="114"/>
        <item x="138"/>
        <item x="131"/>
        <item x="108"/>
        <item x="37"/>
        <item x="145"/>
        <item x="109"/>
        <item x="130"/>
        <item x="25"/>
        <item x="40"/>
        <item x="75"/>
        <item x="7"/>
        <item x="180"/>
        <item x="94"/>
        <item x="137"/>
        <item x="64"/>
        <item x="106"/>
        <item x="80"/>
        <item x="178"/>
        <item x="107"/>
        <item x="68"/>
        <item x="103"/>
        <item x="50"/>
        <item x="102"/>
        <item x="172"/>
        <item x="162"/>
        <item x="210"/>
        <item x="117"/>
        <item x="198"/>
        <item x="164"/>
        <item x="160"/>
        <item x="156"/>
        <item x="55"/>
        <item x="159"/>
        <item x="176"/>
        <item x="185"/>
        <item x="204"/>
        <item x="17"/>
        <item x="85"/>
        <item x="186"/>
        <item x="54"/>
        <item x="51"/>
        <item x="146"/>
        <item x="66"/>
        <item x="149"/>
        <item x="187"/>
        <item x="189"/>
        <item x="119"/>
        <item x="111"/>
        <item x="128"/>
        <item x="161"/>
        <item x="1"/>
        <item x="203"/>
        <item x="190"/>
        <item x="101"/>
        <item x="147"/>
        <item x="95"/>
        <item x="78"/>
        <item x="82"/>
        <item x="53"/>
        <item x="139"/>
        <item x="49"/>
        <item x="70"/>
        <item x="58"/>
        <item x="83"/>
        <item x="14"/>
        <item x="132"/>
        <item x="158"/>
        <item x="165"/>
        <item x="8"/>
        <item x="202"/>
        <item x="91"/>
        <item x="77"/>
        <item x="122"/>
        <item x="144"/>
        <item x="79"/>
        <item x="206"/>
        <item x="126"/>
        <item x="63"/>
        <item x="181"/>
        <item x="84"/>
        <item x="168"/>
        <item x="140"/>
        <item x="30"/>
        <item x="62"/>
        <item x="31"/>
        <item x="44"/>
        <item x="216"/>
        <item x="71"/>
        <item x="47"/>
        <item x="188"/>
        <item x="148"/>
        <item x="38"/>
        <item x="179"/>
        <item x="211"/>
        <item x="201"/>
        <item x="72"/>
        <item x="118"/>
        <item x="197"/>
        <item x="45"/>
        <item x="200"/>
        <item x="155"/>
        <item x="121"/>
        <item x="36"/>
        <item x="98"/>
        <item x="134"/>
        <item x="196"/>
        <item x="152"/>
        <item x="24"/>
        <item x="157"/>
        <item x="34"/>
        <item x="207"/>
        <item x="93"/>
        <item x="104"/>
        <item x="135"/>
        <item x="20"/>
        <item x="92"/>
        <item x="113"/>
        <item x="142"/>
        <item x="90"/>
        <item x="127"/>
        <item x="143"/>
        <item x="11"/>
        <item x="69"/>
        <item x="48"/>
        <item x="129"/>
        <item x="33"/>
        <item x="74"/>
        <item x="171"/>
        <item x="116"/>
        <item x="60"/>
        <item x="115"/>
        <item x="19"/>
        <item x="43"/>
        <item x="28"/>
        <item x="167"/>
        <item x="110"/>
        <item x="175"/>
        <item x="41"/>
        <item x="209"/>
        <item x="184"/>
        <item x="174"/>
        <item x="9"/>
        <item x="26"/>
        <item x="169"/>
        <item t="default"/>
      </items>
    </pivotField>
    <pivotField axis="axisRow" showAll="0">
      <items count="8">
        <item x="1"/>
        <item x="4"/>
        <item x="5"/>
        <item x="2"/>
        <item x="6"/>
        <item x="3"/>
        <item x="0"/>
        <item t="default"/>
      </items>
    </pivotField>
    <pivotField showAll="0">
      <items count="5">
        <item x="1"/>
        <item x="3"/>
        <item x="0"/>
        <item x="2"/>
        <item t="default"/>
      </items>
    </pivotField>
    <pivotField showAll="0"/>
    <pivotField showAll="0"/>
    <pivotField numFmtId="164" showAll="0"/>
    <pivotField numFmtId="164" showAll="0"/>
    <pivotField numFmtId="164" showAll="0"/>
    <pivotField numFmtId="164" showAll="0"/>
    <pivotField dataField="1" numFmtId="164" showAll="0"/>
    <pivotField showAll="0"/>
    <pivotField showAll="0"/>
  </pivotFields>
  <rowFields count="1">
    <field x="2"/>
  </rowFields>
  <rowItems count="8">
    <i>
      <x/>
    </i>
    <i>
      <x v="1"/>
    </i>
    <i>
      <x v="2"/>
    </i>
    <i>
      <x v="3"/>
    </i>
    <i>
      <x v="4"/>
    </i>
    <i>
      <x v="5"/>
    </i>
    <i>
      <x v="6"/>
    </i>
    <i t="grand">
      <x/>
    </i>
  </rowItems>
  <colItems count="1">
    <i/>
  </colItems>
  <dataFields count="1">
    <dataField name="Sum of Employee Total Sales" fld="10" baseField="0" baseItem="0" numFmtId="164"/>
  </dataFields>
  <formats count="12">
    <format dxfId="43">
      <pivotArea type="all" dataOnly="0" outline="0" fieldPosition="0"/>
    </format>
    <format dxfId="42">
      <pivotArea outline="0" collapsedLevelsAreSubtotals="1" fieldPosition="0"/>
    </format>
    <format dxfId="41">
      <pivotArea field="2" type="button" dataOnly="0" labelOnly="1" outline="0" axis="axisRow" fieldPosition="0"/>
    </format>
    <format dxfId="40">
      <pivotArea dataOnly="0" labelOnly="1" fieldPosition="0">
        <references count="1">
          <reference field="2" count="0"/>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outline="0" axis="axisValues" fieldPosition="0"/>
    </format>
  </formats>
  <chartFormats count="2">
    <chartFormat chart="15"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628FBB-BA41-4A37-82B5-DF6124CA68A4}" name="PivotTable3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F8" firstHeaderRow="1" firstDataRow="1" firstDataCol="1"/>
  <pivotFields count="13">
    <pivotField showAll="0"/>
    <pivotField showAll="0">
      <items count="218">
        <item x="56"/>
        <item x="170"/>
        <item x="166"/>
        <item x="194"/>
        <item x="57"/>
        <item x="65"/>
        <item x="105"/>
        <item x="123"/>
        <item x="136"/>
        <item x="18"/>
        <item x="96"/>
        <item x="183"/>
        <item x="76"/>
        <item x="154"/>
        <item x="182"/>
        <item x="195"/>
        <item x="21"/>
        <item x="52"/>
        <item x="192"/>
        <item x="46"/>
        <item x="42"/>
        <item x="213"/>
        <item x="15"/>
        <item x="59"/>
        <item x="81"/>
        <item x="22"/>
        <item x="215"/>
        <item x="39"/>
        <item x="86"/>
        <item x="16"/>
        <item x="61"/>
        <item x="112"/>
        <item x="100"/>
        <item x="89"/>
        <item x="87"/>
        <item x="5"/>
        <item x="199"/>
        <item x="177"/>
        <item x="191"/>
        <item x="214"/>
        <item x="0"/>
        <item x="29"/>
        <item x="23"/>
        <item x="97"/>
        <item x="141"/>
        <item x="67"/>
        <item x="2"/>
        <item x="35"/>
        <item x="205"/>
        <item x="32"/>
        <item x="124"/>
        <item x="10"/>
        <item x="3"/>
        <item x="99"/>
        <item x="6"/>
        <item x="13"/>
        <item x="88"/>
        <item x="173"/>
        <item x="133"/>
        <item x="12"/>
        <item x="120"/>
        <item x="151"/>
        <item x="163"/>
        <item x="193"/>
        <item x="125"/>
        <item x="153"/>
        <item x="4"/>
        <item x="150"/>
        <item x="27"/>
        <item x="208"/>
        <item x="73"/>
        <item x="212"/>
        <item x="114"/>
        <item x="138"/>
        <item x="131"/>
        <item x="108"/>
        <item x="37"/>
        <item x="145"/>
        <item x="109"/>
        <item x="130"/>
        <item x="25"/>
        <item x="40"/>
        <item x="75"/>
        <item x="7"/>
        <item x="180"/>
        <item x="94"/>
        <item x="137"/>
        <item x="64"/>
        <item x="106"/>
        <item x="80"/>
        <item x="178"/>
        <item x="107"/>
        <item x="68"/>
        <item x="103"/>
        <item x="50"/>
        <item x="102"/>
        <item x="172"/>
        <item x="162"/>
        <item x="210"/>
        <item x="117"/>
        <item x="198"/>
        <item x="164"/>
        <item x="160"/>
        <item x="156"/>
        <item x="55"/>
        <item x="159"/>
        <item x="176"/>
        <item x="185"/>
        <item x="204"/>
        <item x="17"/>
        <item x="85"/>
        <item x="186"/>
        <item x="54"/>
        <item x="51"/>
        <item x="146"/>
        <item x="66"/>
        <item x="149"/>
        <item x="187"/>
        <item x="189"/>
        <item x="119"/>
        <item x="111"/>
        <item x="128"/>
        <item x="161"/>
        <item x="1"/>
        <item x="203"/>
        <item x="190"/>
        <item x="101"/>
        <item x="147"/>
        <item x="95"/>
        <item x="78"/>
        <item x="82"/>
        <item x="53"/>
        <item x="139"/>
        <item x="49"/>
        <item x="70"/>
        <item x="58"/>
        <item x="83"/>
        <item x="14"/>
        <item x="132"/>
        <item x="158"/>
        <item x="165"/>
        <item x="8"/>
        <item x="202"/>
        <item x="91"/>
        <item x="77"/>
        <item x="122"/>
        <item x="144"/>
        <item x="79"/>
        <item x="206"/>
        <item x="126"/>
        <item x="63"/>
        <item x="181"/>
        <item x="84"/>
        <item x="168"/>
        <item x="140"/>
        <item x="30"/>
        <item x="62"/>
        <item x="31"/>
        <item x="44"/>
        <item x="216"/>
        <item x="71"/>
        <item x="47"/>
        <item x="188"/>
        <item x="148"/>
        <item x="38"/>
        <item x="179"/>
        <item x="211"/>
        <item x="201"/>
        <item x="72"/>
        <item x="118"/>
        <item x="197"/>
        <item x="45"/>
        <item x="200"/>
        <item x="155"/>
        <item x="121"/>
        <item x="36"/>
        <item x="98"/>
        <item x="134"/>
        <item x="196"/>
        <item x="152"/>
        <item x="24"/>
        <item x="157"/>
        <item x="34"/>
        <item x="207"/>
        <item x="93"/>
        <item x="104"/>
        <item x="135"/>
        <item x="20"/>
        <item x="92"/>
        <item x="113"/>
        <item x="142"/>
        <item x="90"/>
        <item x="127"/>
        <item x="143"/>
        <item x="11"/>
        <item x="69"/>
        <item x="48"/>
        <item x="129"/>
        <item x="33"/>
        <item x="74"/>
        <item x="171"/>
        <item x="116"/>
        <item x="60"/>
        <item x="115"/>
        <item x="19"/>
        <item x="43"/>
        <item x="28"/>
        <item x="167"/>
        <item x="110"/>
        <item x="175"/>
        <item x="41"/>
        <item x="209"/>
        <item x="184"/>
        <item x="174"/>
        <item x="9"/>
        <item x="26"/>
        <item x="169"/>
        <item t="default"/>
      </items>
    </pivotField>
    <pivotField showAll="0"/>
    <pivotField axis="axisRow" showAll="0">
      <items count="5">
        <item x="1"/>
        <item x="3"/>
        <item x="0"/>
        <item x="2"/>
        <item t="default"/>
      </items>
    </pivotField>
    <pivotField showAll="0"/>
    <pivotField showAll="0"/>
    <pivotField numFmtId="164" showAll="0"/>
    <pivotField numFmtId="164" showAll="0"/>
    <pivotField numFmtId="164" showAll="0"/>
    <pivotField numFmtId="164" showAll="0"/>
    <pivotField dataField="1" numFmtId="164" showAll="0"/>
    <pivotField showAll="0"/>
    <pivotField showAll="0"/>
  </pivotFields>
  <rowFields count="1">
    <field x="3"/>
  </rowFields>
  <rowItems count="5">
    <i>
      <x/>
    </i>
    <i>
      <x v="1"/>
    </i>
    <i>
      <x v="2"/>
    </i>
    <i>
      <x v="3"/>
    </i>
    <i t="grand">
      <x/>
    </i>
  </rowItems>
  <colItems count="1">
    <i/>
  </colItems>
  <dataFields count="1">
    <dataField name="Sum of Employee Total Sales" fld="10" baseField="0" baseItem="0" numFmtId="164"/>
  </dataFields>
  <formats count="12">
    <format dxfId="55">
      <pivotArea type="all" dataOnly="0" outline="0" fieldPosition="0"/>
    </format>
    <format dxfId="54">
      <pivotArea outline="0" collapsedLevelsAreSubtotals="1" fieldPosition="0"/>
    </format>
    <format dxfId="53">
      <pivotArea field="3" type="button" dataOnly="0" labelOnly="1" outline="0" axis="axisRow"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3" type="button" dataOnly="0" labelOnly="1" outline="0" axis="axisRow" fieldPosition="0"/>
    </format>
    <format dxfId="46">
      <pivotArea dataOnly="0" labelOnly="1" fieldPosition="0">
        <references count="1">
          <reference field="3" count="0"/>
        </references>
      </pivotArea>
    </format>
    <format dxfId="45">
      <pivotArea dataOnly="0" labelOnly="1" grandRow="1" outline="0" fieldPosition="0"/>
    </format>
    <format dxfId="44">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6600A6-BBC2-422A-A3E2-0F3D190013C1}" name="PivotTable3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3:E28" firstHeaderRow="0" firstDataRow="1" firstDataCol="1"/>
  <pivotFields count="13">
    <pivotField showAll="0"/>
    <pivotField showAll="0">
      <items count="218">
        <item x="56"/>
        <item x="170"/>
        <item x="166"/>
        <item x="194"/>
        <item x="57"/>
        <item x="65"/>
        <item x="105"/>
        <item x="123"/>
        <item x="136"/>
        <item x="18"/>
        <item x="96"/>
        <item x="183"/>
        <item x="76"/>
        <item x="154"/>
        <item x="182"/>
        <item x="195"/>
        <item x="21"/>
        <item x="52"/>
        <item x="192"/>
        <item x="46"/>
        <item x="42"/>
        <item x="213"/>
        <item x="15"/>
        <item x="59"/>
        <item x="81"/>
        <item x="22"/>
        <item x="215"/>
        <item x="39"/>
        <item x="86"/>
        <item x="16"/>
        <item x="61"/>
        <item x="112"/>
        <item x="100"/>
        <item x="89"/>
        <item x="87"/>
        <item x="5"/>
        <item x="199"/>
        <item x="177"/>
        <item x="191"/>
        <item x="214"/>
        <item x="0"/>
        <item x="29"/>
        <item x="23"/>
        <item x="97"/>
        <item x="141"/>
        <item x="67"/>
        <item x="2"/>
        <item x="35"/>
        <item x="205"/>
        <item x="32"/>
        <item x="124"/>
        <item x="10"/>
        <item x="3"/>
        <item x="99"/>
        <item x="6"/>
        <item x="13"/>
        <item x="88"/>
        <item x="173"/>
        <item x="133"/>
        <item x="12"/>
        <item x="120"/>
        <item x="151"/>
        <item x="163"/>
        <item x="193"/>
        <item x="125"/>
        <item x="153"/>
        <item x="4"/>
        <item x="150"/>
        <item x="27"/>
        <item x="208"/>
        <item x="73"/>
        <item x="212"/>
        <item x="114"/>
        <item x="138"/>
        <item x="131"/>
        <item x="108"/>
        <item x="37"/>
        <item x="145"/>
        <item x="109"/>
        <item x="130"/>
        <item x="25"/>
        <item x="40"/>
        <item x="75"/>
        <item x="7"/>
        <item x="180"/>
        <item x="94"/>
        <item x="137"/>
        <item x="64"/>
        <item x="106"/>
        <item x="80"/>
        <item x="178"/>
        <item x="107"/>
        <item x="68"/>
        <item x="103"/>
        <item x="50"/>
        <item x="102"/>
        <item x="172"/>
        <item x="162"/>
        <item x="210"/>
        <item x="117"/>
        <item x="198"/>
        <item x="164"/>
        <item x="160"/>
        <item x="156"/>
        <item x="55"/>
        <item x="159"/>
        <item x="176"/>
        <item x="185"/>
        <item x="204"/>
        <item x="17"/>
        <item x="85"/>
        <item x="186"/>
        <item x="54"/>
        <item x="51"/>
        <item x="146"/>
        <item x="66"/>
        <item x="149"/>
        <item x="187"/>
        <item x="189"/>
        <item x="119"/>
        <item x="111"/>
        <item x="128"/>
        <item x="161"/>
        <item x="1"/>
        <item x="203"/>
        <item x="190"/>
        <item x="101"/>
        <item x="147"/>
        <item x="95"/>
        <item x="78"/>
        <item x="82"/>
        <item x="53"/>
        <item x="139"/>
        <item x="49"/>
        <item x="70"/>
        <item x="58"/>
        <item x="83"/>
        <item x="14"/>
        <item x="132"/>
        <item x="158"/>
        <item x="165"/>
        <item x="8"/>
        <item x="202"/>
        <item x="91"/>
        <item x="77"/>
        <item x="122"/>
        <item x="144"/>
        <item x="79"/>
        <item x="206"/>
        <item x="126"/>
        <item x="63"/>
        <item x="181"/>
        <item x="84"/>
        <item x="168"/>
        <item x="140"/>
        <item x="30"/>
        <item x="62"/>
        <item x="31"/>
        <item x="44"/>
        <item x="216"/>
        <item x="71"/>
        <item x="47"/>
        <item x="188"/>
        <item x="148"/>
        <item x="38"/>
        <item x="179"/>
        <item x="211"/>
        <item x="201"/>
        <item x="72"/>
        <item x="118"/>
        <item x="197"/>
        <item x="45"/>
        <item x="200"/>
        <item x="155"/>
        <item x="121"/>
        <item x="36"/>
        <item x="98"/>
        <item x="134"/>
        <item x="196"/>
        <item x="152"/>
        <item x="24"/>
        <item x="157"/>
        <item x="34"/>
        <item x="207"/>
        <item x="93"/>
        <item x="104"/>
        <item x="135"/>
        <item x="20"/>
        <item x="92"/>
        <item x="113"/>
        <item x="142"/>
        <item x="90"/>
        <item x="127"/>
        <item x="143"/>
        <item x="11"/>
        <item x="69"/>
        <item x="48"/>
        <item x="129"/>
        <item x="33"/>
        <item x="74"/>
        <item x="171"/>
        <item x="116"/>
        <item x="60"/>
        <item x="115"/>
        <item x="19"/>
        <item x="43"/>
        <item x="28"/>
        <item x="167"/>
        <item x="110"/>
        <item x="175"/>
        <item x="41"/>
        <item x="209"/>
        <item x="184"/>
        <item x="174"/>
        <item x="9"/>
        <item x="26"/>
        <item x="169"/>
        <item t="default"/>
      </items>
    </pivotField>
    <pivotField showAll="0">
      <items count="8">
        <item x="1"/>
        <item x="4"/>
        <item x="5"/>
        <item x="2"/>
        <item x="6"/>
        <item x="3"/>
        <item x="0"/>
        <item t="default"/>
      </items>
    </pivotField>
    <pivotField axis="axisRow" showAll="0">
      <items count="5">
        <item x="1"/>
        <item x="3"/>
        <item x="0"/>
        <item x="2"/>
        <item t="default"/>
      </items>
    </pivotField>
    <pivotField showAll="0"/>
    <pivotField showAll="0"/>
    <pivotField dataField="1" numFmtId="164" showAll="0">
      <items count="497">
        <item x="250"/>
        <item x="402"/>
        <item x="478"/>
        <item x="336"/>
        <item x="379"/>
        <item x="406"/>
        <item x="342"/>
        <item x="494"/>
        <item x="400"/>
        <item x="140"/>
        <item x="488"/>
        <item x="291"/>
        <item x="441"/>
        <item x="352"/>
        <item x="324"/>
        <item x="170"/>
        <item x="449"/>
        <item x="392"/>
        <item x="462"/>
        <item x="263"/>
        <item x="331"/>
        <item x="415"/>
        <item x="301"/>
        <item x="159"/>
        <item x="431"/>
        <item x="227"/>
        <item x="416"/>
        <item x="382"/>
        <item x="312"/>
        <item x="476"/>
        <item x="469"/>
        <item x="398"/>
        <item x="222"/>
        <item x="403"/>
        <item x="458"/>
        <item x="465"/>
        <item x="359"/>
        <item x="297"/>
        <item x="155"/>
        <item x="374"/>
        <item x="377"/>
        <item x="466"/>
        <item x="316"/>
        <item x="326"/>
        <item x="442"/>
        <item x="340"/>
        <item x="414"/>
        <item x="300"/>
        <item x="452"/>
        <item x="485"/>
        <item x="236"/>
        <item x="86"/>
        <item x="103"/>
        <item x="35"/>
        <item x="468"/>
        <item x="489"/>
        <item x="239"/>
        <item x="369"/>
        <item x="395"/>
        <item x="294"/>
        <item x="427"/>
        <item x="311"/>
        <item x="114"/>
        <item x="274"/>
        <item x="350"/>
        <item x="245"/>
        <item x="180"/>
        <item x="470"/>
        <item x="201"/>
        <item x="495"/>
        <item x="486"/>
        <item x="329"/>
        <item x="219"/>
        <item x="375"/>
        <item x="154"/>
        <item x="491"/>
        <item x="477"/>
        <item x="410"/>
        <item x="399"/>
        <item x="299"/>
        <item x="93"/>
        <item x="490"/>
        <item x="44"/>
        <item x="332"/>
        <item x="362"/>
        <item x="367"/>
        <item x="448"/>
        <item x="461"/>
        <item x="435"/>
        <item x="164"/>
        <item x="307"/>
        <item x="179"/>
        <item x="280"/>
        <item x="206"/>
        <item x="453"/>
        <item x="450"/>
        <item x="390"/>
        <item x="393"/>
        <item x="308"/>
        <item x="288"/>
        <item x="189"/>
        <item x="64"/>
        <item x="386"/>
        <item x="358"/>
        <item x="60"/>
        <item x="282"/>
        <item x="492"/>
        <item x="213"/>
        <item x="232"/>
        <item x="237"/>
        <item x="30"/>
        <item x="370"/>
        <item x="419"/>
        <item x="194"/>
        <item x="314"/>
        <item x="341"/>
        <item x="317"/>
        <item x="347"/>
        <item x="420"/>
        <item x="447"/>
        <item x="457"/>
        <item x="327"/>
        <item x="272"/>
        <item x="480"/>
        <item x="241"/>
        <item x="385"/>
        <item x="255"/>
        <item x="270"/>
        <item x="37"/>
        <item x="433"/>
        <item x="174"/>
        <item x="440"/>
        <item x="28"/>
        <item x="57"/>
        <item x="493"/>
        <item x="186"/>
        <item x="175"/>
        <item x="444"/>
        <item x="337"/>
        <item x="463"/>
        <item x="445"/>
        <item x="482"/>
        <item x="425"/>
        <item x="188"/>
        <item x="394"/>
        <item x="325"/>
        <item x="487"/>
        <item x="149"/>
        <item x="66"/>
        <item x="254"/>
        <item x="48"/>
        <item x="277"/>
        <item x="276"/>
        <item x="202"/>
        <item x="162"/>
        <item x="464"/>
        <item x="323"/>
        <item x="318"/>
        <item x="190"/>
        <item x="334"/>
        <item x="474"/>
        <item x="131"/>
        <item x="69"/>
        <item x="129"/>
        <item x="413"/>
        <item x="368"/>
        <item x="333"/>
        <item x="397"/>
        <item x="88"/>
        <item x="328"/>
        <item x="264"/>
        <item x="235"/>
        <item x="454"/>
        <item x="242"/>
        <item x="207"/>
        <item x="319"/>
        <item x="305"/>
        <item x="424"/>
        <item x="97"/>
        <item x="411"/>
        <item x="158"/>
        <item x="211"/>
        <item x="157"/>
        <item x="422"/>
        <item x="432"/>
        <item x="421"/>
        <item x="260"/>
        <item x="120"/>
        <item x="330"/>
        <item x="261"/>
        <item x="127"/>
        <item x="226"/>
        <item x="187"/>
        <item x="22"/>
        <item x="119"/>
        <item x="471"/>
        <item x="405"/>
        <item x="31"/>
        <item x="233"/>
        <item x="373"/>
        <item x="91"/>
        <item x="238"/>
        <item x="89"/>
        <item x="203"/>
        <item x="339"/>
        <item x="451"/>
        <item x="212"/>
        <item x="142"/>
        <item x="293"/>
        <item x="148"/>
        <item x="199"/>
        <item x="388"/>
        <item x="479"/>
        <item x="387"/>
        <item x="133"/>
        <item x="460"/>
        <item x="108"/>
        <item x="407"/>
        <item x="99"/>
        <item x="253"/>
        <item x="408"/>
        <item x="84"/>
        <item x="417"/>
        <item x="354"/>
        <item x="221"/>
        <item x="163"/>
        <item x="172"/>
        <item x="45"/>
        <item x="418"/>
        <item x="122"/>
        <item x="396"/>
        <item x="426"/>
        <item x="171"/>
        <item x="74"/>
        <item x="343"/>
        <item x="39"/>
        <item x="467"/>
        <item x="481"/>
        <item x="472"/>
        <item x="104"/>
        <item x="278"/>
        <item x="217"/>
        <item x="61"/>
        <item x="348"/>
        <item x="271"/>
        <item x="259"/>
        <item x="309"/>
        <item x="244"/>
        <item x="68"/>
        <item x="302"/>
        <item x="321"/>
        <item x="313"/>
        <item x="391"/>
        <item x="304"/>
        <item x="208"/>
        <item x="285"/>
        <item x="126"/>
        <item x="183"/>
        <item x="456"/>
        <item x="290"/>
        <item x="198"/>
        <item x="67"/>
        <item x="55"/>
        <item x="286"/>
        <item x="216"/>
        <item x="443"/>
        <item x="409"/>
        <item x="281"/>
        <item x="14"/>
        <item x="214"/>
        <item x="178"/>
        <item x="353"/>
        <item x="257"/>
        <item x="6"/>
        <item x="116"/>
        <item x="63"/>
        <item x="310"/>
        <item x="54"/>
        <item x="151"/>
        <item x="436"/>
        <item x="437"/>
        <item x="438"/>
        <item x="75"/>
        <item x="269"/>
        <item x="231"/>
        <item x="365"/>
        <item x="284"/>
        <item x="94"/>
        <item x="346"/>
        <item x="383"/>
        <item x="166"/>
        <item x="446"/>
        <item x="355"/>
        <item x="303"/>
        <item x="475"/>
        <item x="13"/>
        <item x="112"/>
        <item x="401"/>
        <item x="146"/>
        <item x="251"/>
        <item x="106"/>
        <item x="42"/>
        <item x="258"/>
        <item x="200"/>
        <item x="338"/>
        <item x="65"/>
        <item x="381"/>
        <item x="267"/>
        <item x="356"/>
        <item x="29"/>
        <item x="434"/>
        <item x="320"/>
        <item x="110"/>
        <item x="98"/>
        <item x="7"/>
        <item x="111"/>
        <item x="287"/>
        <item x="144"/>
        <item x="115"/>
        <item x="484"/>
        <item x="59"/>
        <item x="90"/>
        <item x="138"/>
        <item x="423"/>
        <item x="265"/>
        <item x="256"/>
        <item x="46"/>
        <item x="252"/>
        <item x="295"/>
        <item x="87"/>
        <item x="306"/>
        <item x="191"/>
        <item x="41"/>
        <item x="165"/>
        <item x="161"/>
        <item x="296"/>
        <item x="344"/>
        <item x="152"/>
        <item x="47"/>
        <item x="240"/>
        <item x="10"/>
        <item x="53"/>
        <item x="113"/>
        <item x="80"/>
        <item x="366"/>
        <item x="107"/>
        <item x="26"/>
        <item x="16"/>
        <item x="73"/>
        <item x="229"/>
        <item x="345"/>
        <item x="182"/>
        <item x="483"/>
        <item x="218"/>
        <item x="196"/>
        <item x="224"/>
        <item x="195"/>
        <item x="349"/>
        <item x="36"/>
        <item x="9"/>
        <item x="17"/>
        <item x="193"/>
        <item x="23"/>
        <item x="283"/>
        <item x="376"/>
        <item x="266"/>
        <item x="223"/>
        <item x="378"/>
        <item x="11"/>
        <item x="371"/>
        <item x="412"/>
        <item x="105"/>
        <item x="121"/>
        <item x="363"/>
        <item x="209"/>
        <item x="404"/>
        <item x="79"/>
        <item x="225"/>
        <item x="197"/>
        <item x="100"/>
        <item x="335"/>
        <item x="15"/>
        <item x="234"/>
        <item x="215"/>
        <item x="473"/>
        <item x="459"/>
        <item x="364"/>
        <item x="429"/>
        <item x="181"/>
        <item x="220"/>
        <item x="292"/>
        <item x="268"/>
        <item x="455"/>
        <item x="204"/>
        <item x="3"/>
        <item x="78"/>
        <item x="185"/>
        <item x="173"/>
        <item x="141"/>
        <item x="230"/>
        <item x="145"/>
        <item x="85"/>
        <item x="384"/>
        <item x="273"/>
        <item x="130"/>
        <item x="24"/>
        <item x="246"/>
        <item x="315"/>
        <item x="56"/>
        <item x="360"/>
        <item x="134"/>
        <item x="210"/>
        <item x="40"/>
        <item x="72"/>
        <item x="49"/>
        <item x="147"/>
        <item x="192"/>
        <item x="19"/>
        <item x="81"/>
        <item x="21"/>
        <item x="361"/>
        <item x="228"/>
        <item x="125"/>
        <item x="102"/>
        <item x="137"/>
        <item x="247"/>
        <item x="76"/>
        <item x="123"/>
        <item x="275"/>
        <item x="262"/>
        <item x="95"/>
        <item x="83"/>
        <item x="96"/>
        <item x="279"/>
        <item x="169"/>
        <item x="128"/>
        <item x="439"/>
        <item x="109"/>
        <item x="430"/>
        <item x="12"/>
        <item x="177"/>
        <item x="51"/>
        <item x="205"/>
        <item x="2"/>
        <item x="389"/>
        <item x="58"/>
        <item x="249"/>
        <item x="372"/>
        <item x="27"/>
        <item x="248"/>
        <item x="143"/>
        <item x="117"/>
        <item x="168"/>
        <item x="380"/>
        <item x="62"/>
        <item x="20"/>
        <item x="289"/>
        <item x="357"/>
        <item x="71"/>
        <item x="167"/>
        <item x="322"/>
        <item x="5"/>
        <item x="139"/>
        <item x="33"/>
        <item x="38"/>
        <item x="184"/>
        <item x="428"/>
        <item x="4"/>
        <item x="136"/>
        <item x="351"/>
        <item x="50"/>
        <item x="176"/>
        <item x="160"/>
        <item x="156"/>
        <item x="118"/>
        <item x="70"/>
        <item x="101"/>
        <item x="8"/>
        <item x="92"/>
        <item x="153"/>
        <item x="124"/>
        <item x="243"/>
        <item x="18"/>
        <item x="1"/>
        <item x="25"/>
        <item x="43"/>
        <item x="82"/>
        <item x="34"/>
        <item x="135"/>
        <item x="298"/>
        <item x="132"/>
        <item x="52"/>
        <item x="32"/>
        <item x="0"/>
        <item x="150"/>
        <item x="77"/>
        <item t="default"/>
      </items>
    </pivotField>
    <pivotField dataField="1" numFmtId="164" showAll="0">
      <items count="500">
        <item x="486"/>
        <item x="435"/>
        <item x="458"/>
        <item x="474"/>
        <item x="483"/>
        <item x="366"/>
        <item x="442"/>
        <item x="449"/>
        <item x="405"/>
        <item x="356"/>
        <item x="452"/>
        <item x="400"/>
        <item x="77"/>
        <item x="247"/>
        <item x="276"/>
        <item x="482"/>
        <item x="476"/>
        <item x="231"/>
        <item x="437"/>
        <item x="492"/>
        <item x="351"/>
        <item x="195"/>
        <item x="94"/>
        <item x="135"/>
        <item x="385"/>
        <item x="441"/>
        <item x="432"/>
        <item x="147"/>
        <item x="484"/>
        <item x="364"/>
        <item x="90"/>
        <item x="304"/>
        <item x="156"/>
        <item x="226"/>
        <item x="321"/>
        <item x="498"/>
        <item x="373"/>
        <item x="362"/>
        <item x="374"/>
        <item x="410"/>
        <item x="487"/>
        <item x="306"/>
        <item x="130"/>
        <item x="478"/>
        <item x="73"/>
        <item x="433"/>
        <item x="490"/>
        <item x="424"/>
        <item x="153"/>
        <item x="33"/>
        <item x="462"/>
        <item x="361"/>
        <item x="98"/>
        <item x="169"/>
        <item x="308"/>
        <item x="412"/>
        <item x="496"/>
        <item x="194"/>
        <item x="426"/>
        <item x="115"/>
        <item x="461"/>
        <item x="480"/>
        <item x="241"/>
        <item x="246"/>
        <item x="138"/>
        <item x="495"/>
        <item x="160"/>
        <item x="206"/>
        <item x="294"/>
        <item x="248"/>
        <item x="407"/>
        <item x="443"/>
        <item x="267"/>
        <item x="440"/>
        <item x="235"/>
        <item x="305"/>
        <item x="288"/>
        <item x="336"/>
        <item x="333"/>
        <item x="126"/>
        <item x="326"/>
        <item x="118"/>
        <item x="334"/>
        <item x="271"/>
        <item x="142"/>
        <item x="242"/>
        <item x="197"/>
        <item x="201"/>
        <item x="358"/>
        <item x="165"/>
        <item x="110"/>
        <item x="438"/>
        <item x="470"/>
        <item x="409"/>
        <item x="262"/>
        <item x="477"/>
        <item x="204"/>
        <item x="239"/>
        <item x="299"/>
        <item x="280"/>
        <item x="494"/>
        <item x="493"/>
        <item x="296"/>
        <item x="310"/>
        <item x="436"/>
        <item x="286"/>
        <item x="211"/>
        <item x="371"/>
        <item x="278"/>
        <item x="249"/>
        <item x="345"/>
        <item x="394"/>
        <item x="318"/>
        <item x="419"/>
        <item x="316"/>
        <item x="244"/>
        <item x="376"/>
        <item x="324"/>
        <item x="415"/>
        <item x="196"/>
        <item x="352"/>
        <item x="399"/>
        <item x="338"/>
        <item x="448"/>
        <item x="418"/>
        <item x="193"/>
        <item x="457"/>
        <item x="370"/>
        <item x="425"/>
        <item x="379"/>
        <item x="191"/>
        <item x="386"/>
        <item x="81"/>
        <item x="105"/>
        <item x="331"/>
        <item x="302"/>
        <item x="463"/>
        <item x="322"/>
        <item x="123"/>
        <item x="124"/>
        <item x="497"/>
        <item x="413"/>
        <item x="313"/>
        <item x="489"/>
        <item x="132"/>
        <item x="475"/>
        <item x="422"/>
        <item x="228"/>
        <item x="456"/>
        <item x="282"/>
        <item x="355"/>
        <item x="389"/>
        <item x="365"/>
        <item x="465"/>
        <item x="100"/>
        <item x="166"/>
        <item x="464"/>
        <item x="83"/>
        <item x="420"/>
        <item x="459"/>
        <item x="439"/>
        <item x="367"/>
        <item x="468"/>
        <item x="210"/>
        <item x="125"/>
        <item x="434"/>
        <item x="152"/>
        <item x="382"/>
        <item x="250"/>
        <item x="217"/>
        <item x="427"/>
        <item x="325"/>
        <item x="40"/>
        <item x="139"/>
        <item x="491"/>
        <item x="350"/>
        <item x="104"/>
        <item x="357"/>
        <item x="408"/>
        <item x="472"/>
        <item x="488"/>
        <item x="174"/>
        <item x="230"/>
        <item x="178"/>
        <item x="284"/>
        <item x="295"/>
        <item x="393"/>
        <item x="158"/>
        <item x="416"/>
        <item x="348"/>
        <item x="301"/>
        <item x="446"/>
        <item x="479"/>
        <item x="38"/>
        <item x="298"/>
        <item x="485"/>
        <item x="402"/>
        <item x="339"/>
        <item x="173"/>
        <item x="61"/>
        <item x="198"/>
        <item x="182"/>
        <item x="260"/>
        <item x="82"/>
        <item x="429"/>
        <item x="384"/>
        <item x="8"/>
        <item x="401"/>
        <item x="253"/>
        <item x="467"/>
        <item x="131"/>
        <item x="303"/>
        <item x="259"/>
        <item x="36"/>
        <item x="342"/>
        <item x="445"/>
        <item x="172"/>
        <item x="390"/>
        <item x="85"/>
        <item x="212"/>
        <item x="380"/>
        <item x="117"/>
        <item x="21"/>
        <item x="454"/>
        <item x="266"/>
        <item x="309"/>
        <item x="225"/>
        <item x="67"/>
        <item x="144"/>
        <item x="192"/>
        <item x="392"/>
        <item x="346"/>
        <item x="52"/>
        <item x="53"/>
        <item x="411"/>
        <item x="383"/>
        <item x="224"/>
        <item x="133"/>
        <item x="481"/>
        <item x="312"/>
        <item x="307"/>
        <item x="430"/>
        <item x="25"/>
        <item x="353"/>
        <item x="89"/>
        <item x="229"/>
        <item x="265"/>
        <item x="319"/>
        <item x="101"/>
        <item x="285"/>
        <item x="421"/>
        <item x="329"/>
        <item x="391"/>
        <item x="347"/>
        <item x="471"/>
        <item x="216"/>
        <item x="363"/>
        <item x="167"/>
        <item x="290"/>
        <item x="404"/>
        <item x="360"/>
        <item x="183"/>
        <item x="200"/>
        <item x="91"/>
        <item x="218"/>
        <item x="289"/>
        <item x="268"/>
        <item x="417"/>
        <item x="109"/>
        <item x="323"/>
        <item x="341"/>
        <item x="258"/>
        <item x="24"/>
        <item x="340"/>
        <item x="450"/>
        <item x="275"/>
        <item x="227"/>
        <item x="96"/>
        <item x="51"/>
        <item x="396"/>
        <item x="18"/>
        <item x="397"/>
        <item x="349"/>
        <item x="215"/>
        <item x="451"/>
        <item x="378"/>
        <item x="274"/>
        <item x="186"/>
        <item x="189"/>
        <item x="320"/>
        <item x="270"/>
        <item x="223"/>
        <item x="88"/>
        <item x="97"/>
        <item x="15"/>
        <item x="119"/>
        <item x="203"/>
        <item x="220"/>
        <item x="205"/>
        <item x="387"/>
        <item x="55"/>
        <item x="134"/>
        <item x="151"/>
        <item x="372"/>
        <item x="245"/>
        <item x="221"/>
        <item x="63"/>
        <item x="330"/>
        <item x="219"/>
        <item x="359"/>
        <item x="455"/>
        <item x="112"/>
        <item x="279"/>
        <item x="79"/>
        <item x="287"/>
        <item x="163"/>
        <item x="243"/>
        <item x="300"/>
        <item x="56"/>
        <item x="175"/>
        <item x="315"/>
        <item x="273"/>
        <item x="140"/>
        <item x="41"/>
        <item x="375"/>
        <item x="381"/>
        <item x="190"/>
        <item x="113"/>
        <item x="103"/>
        <item x="269"/>
        <item x="466"/>
        <item x="149"/>
        <item x="60"/>
        <item x="157"/>
        <item x="238"/>
        <item x="102"/>
        <item x="76"/>
        <item x="54"/>
        <item x="42"/>
        <item x="20"/>
        <item x="344"/>
        <item x="84"/>
        <item x="75"/>
        <item x="146"/>
        <item x="460"/>
        <item x="159"/>
        <item x="277"/>
        <item x="272"/>
        <item x="168"/>
        <item x="232"/>
        <item x="65"/>
        <item x="377"/>
        <item x="5"/>
        <item x="447"/>
        <item x="222"/>
        <item x="136"/>
        <item x="7"/>
        <item x="141"/>
        <item x="50"/>
        <item x="444"/>
        <item x="171"/>
        <item x="27"/>
        <item x="14"/>
        <item x="317"/>
        <item x="314"/>
        <item x="214"/>
        <item x="148"/>
        <item x="68"/>
        <item x="120"/>
        <item x="257"/>
        <item x="255"/>
        <item x="254"/>
        <item x="161"/>
        <item x="388"/>
        <item x="4"/>
        <item x="31"/>
        <item x="59"/>
        <item x="87"/>
        <item x="236"/>
        <item x="23"/>
        <item x="263"/>
        <item x="114"/>
        <item x="72"/>
        <item x="343"/>
        <item x="403"/>
        <item x="208"/>
        <item x="78"/>
        <item x="423"/>
        <item x="180"/>
        <item x="0"/>
        <item x="293"/>
        <item x="176"/>
        <item x="395"/>
        <item x="86"/>
        <item x="164"/>
        <item x="291"/>
        <item x="128"/>
        <item x="398"/>
        <item x="327"/>
        <item x="121"/>
        <item x="58"/>
        <item x="48"/>
        <item x="74"/>
        <item x="11"/>
        <item x="155"/>
        <item x="332"/>
        <item x="251"/>
        <item x="116"/>
        <item x="368"/>
        <item x="12"/>
        <item x="199"/>
        <item x="170"/>
        <item x="209"/>
        <item x="108"/>
        <item x="6"/>
        <item x="297"/>
        <item x="150"/>
        <item x="70"/>
        <item x="95"/>
        <item x="46"/>
        <item x="234"/>
        <item x="28"/>
        <item x="181"/>
        <item x="414"/>
        <item x="185"/>
        <item x="202"/>
        <item x="187"/>
        <item x="69"/>
        <item x="29"/>
        <item x="179"/>
        <item x="106"/>
        <item x="335"/>
        <item x="369"/>
        <item x="354"/>
        <item x="9"/>
        <item x="311"/>
        <item x="47"/>
        <item x="43"/>
        <item x="10"/>
        <item x="328"/>
        <item x="473"/>
        <item x="71"/>
        <item x="261"/>
        <item x="2"/>
        <item x="111"/>
        <item x="237"/>
        <item x="44"/>
        <item x="26"/>
        <item x="283"/>
        <item x="62"/>
        <item x="35"/>
        <item x="252"/>
        <item x="19"/>
        <item x="213"/>
        <item x="127"/>
        <item x="66"/>
        <item x="45"/>
        <item x="17"/>
        <item x="37"/>
        <item x="292"/>
        <item x="469"/>
        <item x="233"/>
        <item x="13"/>
        <item x="143"/>
        <item x="207"/>
        <item x="80"/>
        <item x="264"/>
        <item x="428"/>
        <item x="453"/>
        <item x="93"/>
        <item x="184"/>
        <item x="137"/>
        <item x="154"/>
        <item x="99"/>
        <item x="32"/>
        <item x="122"/>
        <item x="39"/>
        <item x="240"/>
        <item x="145"/>
        <item x="34"/>
        <item x="256"/>
        <item x="188"/>
        <item x="281"/>
        <item x="16"/>
        <item x="1"/>
        <item x="64"/>
        <item x="162"/>
        <item x="406"/>
        <item x="3"/>
        <item x="30"/>
        <item x="49"/>
        <item x="431"/>
        <item x="129"/>
        <item x="177"/>
        <item x="337"/>
        <item x="22"/>
        <item x="57"/>
        <item x="107"/>
        <item x="92"/>
        <item t="default"/>
      </items>
    </pivotField>
    <pivotField dataField="1" numFmtId="164" showAll="0">
      <items count="497">
        <item x="427"/>
        <item x="388"/>
        <item x="325"/>
        <item x="484"/>
        <item x="255"/>
        <item x="182"/>
        <item x="227"/>
        <item x="480"/>
        <item x="171"/>
        <item x="443"/>
        <item x="278"/>
        <item x="145"/>
        <item x="247"/>
        <item x="450"/>
        <item x="284"/>
        <item x="491"/>
        <item x="418"/>
        <item x="386"/>
        <item x="452"/>
        <item x="387"/>
        <item x="495"/>
        <item x="185"/>
        <item x="372"/>
        <item x="242"/>
        <item x="473"/>
        <item x="116"/>
        <item x="470"/>
        <item x="455"/>
        <item x="475"/>
        <item x="273"/>
        <item x="32"/>
        <item x="481"/>
        <item x="196"/>
        <item x="61"/>
        <item x="424"/>
        <item x="395"/>
        <item x="379"/>
        <item x="403"/>
        <item x="459"/>
        <item x="466"/>
        <item x="121"/>
        <item x="431"/>
        <item x="369"/>
        <item x="219"/>
        <item x="492"/>
        <item x="204"/>
        <item x="469"/>
        <item x="464"/>
        <item x="401"/>
        <item x="413"/>
        <item x="355"/>
        <item x="383"/>
        <item x="207"/>
        <item x="493"/>
        <item x="266"/>
        <item x="265"/>
        <item x="92"/>
        <item x="336"/>
        <item x="425"/>
        <item x="99"/>
        <item x="451"/>
        <item x="290"/>
        <item x="461"/>
        <item x="318"/>
        <item x="174"/>
        <item x="349"/>
        <item x="340"/>
        <item x="486"/>
        <item x="366"/>
        <item x="468"/>
        <item x="392"/>
        <item x="346"/>
        <item x="279"/>
        <item x="226"/>
        <item x="128"/>
        <item x="463"/>
        <item x="280"/>
        <item x="271"/>
        <item x="460"/>
        <item x="320"/>
        <item x="483"/>
        <item x="351"/>
        <item x="448"/>
        <item x="260"/>
        <item x="465"/>
        <item x="371"/>
        <item x="319"/>
        <item x="411"/>
        <item x="224"/>
        <item x="205"/>
        <item x="375"/>
        <item x="304"/>
        <item x="197"/>
        <item x="175"/>
        <item x="177"/>
        <item x="373"/>
        <item x="250"/>
        <item x="277"/>
        <item x="441"/>
        <item x="302"/>
        <item x="380"/>
        <item x="364"/>
        <item x="476"/>
        <item x="288"/>
        <item x="341"/>
        <item x="456"/>
        <item x="420"/>
        <item x="264"/>
        <item x="485"/>
        <item x="391"/>
        <item x="422"/>
        <item x="200"/>
        <item x="405"/>
        <item x="314"/>
        <item x="249"/>
        <item x="494"/>
        <item x="78"/>
        <item x="345"/>
        <item x="439"/>
        <item x="490"/>
        <item x="457"/>
        <item x="472"/>
        <item x="482"/>
        <item x="362"/>
        <item x="58"/>
        <item x="426"/>
        <item x="308"/>
        <item x="342"/>
        <item x="223"/>
        <item x="159"/>
        <item x="328"/>
        <item x="144"/>
        <item x="272"/>
        <item x="467"/>
        <item x="117"/>
        <item x="428"/>
        <item x="294"/>
        <item x="122"/>
        <item x="258"/>
        <item x="56"/>
        <item x="488"/>
        <item x="307"/>
        <item x="34"/>
        <item x="214"/>
        <item x="445"/>
        <item x="257"/>
        <item x="107"/>
        <item x="478"/>
        <item x="183"/>
        <item x="190"/>
        <item x="296"/>
        <item x="377"/>
        <item x="237"/>
        <item x="343"/>
        <item x="47"/>
        <item x="287"/>
        <item x="125"/>
        <item x="447"/>
        <item x="438"/>
        <item x="52"/>
        <item x="321"/>
        <item x="370"/>
        <item x="410"/>
        <item x="49"/>
        <item x="167"/>
        <item x="274"/>
        <item x="311"/>
        <item x="158"/>
        <item x="412"/>
        <item x="213"/>
        <item x="444"/>
        <item x="435"/>
        <item x="112"/>
        <item x="479"/>
        <item x="406"/>
        <item x="254"/>
        <item x="232"/>
        <item x="215"/>
        <item x="454"/>
        <item x="59"/>
        <item x="136"/>
        <item x="162"/>
        <item x="178"/>
        <item x="423"/>
        <item x="263"/>
        <item x="449"/>
        <item x="347"/>
        <item x="487"/>
        <item x="106"/>
        <item x="429"/>
        <item x="365"/>
        <item x="282"/>
        <item x="143"/>
        <item x="393"/>
        <item x="292"/>
        <item x="75"/>
        <item x="222"/>
        <item x="124"/>
        <item x="229"/>
        <item x="149"/>
        <item x="286"/>
        <item x="180"/>
        <item x="170"/>
        <item x="309"/>
        <item x="221"/>
        <item x="236"/>
        <item x="477"/>
        <item x="433"/>
        <item x="385"/>
        <item x="206"/>
        <item x="442"/>
        <item x="139"/>
        <item x="408"/>
        <item x="489"/>
        <item x="95"/>
        <item x="381"/>
        <item x="301"/>
        <item x="187"/>
        <item x="71"/>
        <item x="397"/>
        <item x="471"/>
        <item x="142"/>
        <item x="334"/>
        <item x="407"/>
        <item x="409"/>
        <item x="137"/>
        <item x="241"/>
        <item x="437"/>
        <item x="209"/>
        <item x="51"/>
        <item x="26"/>
        <item x="233"/>
        <item x="384"/>
        <item x="354"/>
        <item x="415"/>
        <item x="230"/>
        <item x="169"/>
        <item x="189"/>
        <item x="275"/>
        <item x="344"/>
        <item x="419"/>
        <item x="332"/>
        <item x="231"/>
        <item x="394"/>
        <item x="281"/>
        <item x="306"/>
        <item x="326"/>
        <item x="166"/>
        <item x="293"/>
        <item x="173"/>
        <item x="105"/>
        <item x="179"/>
        <item x="120"/>
        <item x="453"/>
        <item x="101"/>
        <item x="176"/>
        <item x="127"/>
        <item x="181"/>
        <item x="72"/>
        <item x="348"/>
        <item x="376"/>
        <item x="62"/>
        <item x="109"/>
        <item x="390"/>
        <item x="300"/>
        <item x="404"/>
        <item x="157"/>
        <item x="261"/>
        <item x="119"/>
        <item x="270"/>
        <item x="218"/>
        <item x="474"/>
        <item x="360"/>
        <item x="76"/>
        <item x="246"/>
        <item x="367"/>
        <item x="93"/>
        <item x="382"/>
        <item x="216"/>
        <item x="396"/>
        <item x="114"/>
        <item x="333"/>
        <item x="430"/>
        <item x="23"/>
        <item x="324"/>
        <item x="220"/>
        <item x="400"/>
        <item x="251"/>
        <item x="356"/>
        <item x="368"/>
        <item x="337"/>
        <item x="269"/>
        <item x="353"/>
        <item x="29"/>
        <item x="262"/>
        <item x="352"/>
        <item x="100"/>
        <item x="3"/>
        <item x="156"/>
        <item x="253"/>
        <item x="83"/>
        <item x="417"/>
        <item x="256"/>
        <item x="113"/>
        <item x="285"/>
        <item x="297"/>
        <item x="322"/>
        <item x="267"/>
        <item x="313"/>
        <item x="338"/>
        <item x="17"/>
        <item x="358"/>
        <item x="184"/>
        <item x="12"/>
        <item x="217"/>
        <item x="228"/>
        <item x="276"/>
        <item x="74"/>
        <item x="11"/>
        <item x="361"/>
        <item x="129"/>
        <item x="303"/>
        <item x="283"/>
        <item x="168"/>
        <item x="46"/>
        <item x="150"/>
        <item x="111"/>
        <item x="440"/>
        <item x="203"/>
        <item x="172"/>
        <item x="335"/>
        <item x="70"/>
        <item x="19"/>
        <item x="66"/>
        <item x="18"/>
        <item x="27"/>
        <item x="188"/>
        <item x="140"/>
        <item x="148"/>
        <item x="165"/>
        <item x="108"/>
        <item x="245"/>
        <item x="40"/>
        <item x="374"/>
        <item x="96"/>
        <item x="357"/>
        <item x="110"/>
        <item x="259"/>
        <item x="65"/>
        <item x="317"/>
        <item x="147"/>
        <item x="378"/>
        <item x="5"/>
        <item x="329"/>
        <item x="160"/>
        <item x="268"/>
        <item x="248"/>
        <item x="81"/>
        <item x="63"/>
        <item x="414"/>
        <item x="102"/>
        <item x="146"/>
        <item x="118"/>
        <item x="398"/>
        <item x="211"/>
        <item x="134"/>
        <item x="13"/>
        <item x="436"/>
        <item x="446"/>
        <item x="389"/>
        <item x="295"/>
        <item x="289"/>
        <item x="210"/>
        <item x="252"/>
        <item x="41"/>
        <item x="115"/>
        <item x="133"/>
        <item x="339"/>
        <item x="21"/>
        <item x="155"/>
        <item x="15"/>
        <item x="243"/>
        <item x="240"/>
        <item x="2"/>
        <item x="202"/>
        <item x="432"/>
        <item x="1"/>
        <item x="123"/>
        <item x="327"/>
        <item x="37"/>
        <item x="305"/>
        <item x="163"/>
        <item x="310"/>
        <item x="462"/>
        <item x="235"/>
        <item x="195"/>
        <item x="141"/>
        <item x="212"/>
        <item x="350"/>
        <item x="131"/>
        <item x="22"/>
        <item x="312"/>
        <item x="68"/>
        <item x="330"/>
        <item x="54"/>
        <item x="152"/>
        <item x="44"/>
        <item x="45"/>
        <item x="104"/>
        <item x="186"/>
        <item x="239"/>
        <item x="48"/>
        <item x="79"/>
        <item x="198"/>
        <item x="323"/>
        <item x="244"/>
        <item x="291"/>
        <item x="24"/>
        <item x="87"/>
        <item x="153"/>
        <item x="91"/>
        <item x="82"/>
        <item x="97"/>
        <item x="359"/>
        <item x="399"/>
        <item x="10"/>
        <item x="89"/>
        <item x="194"/>
        <item x="67"/>
        <item x="38"/>
        <item x="4"/>
        <item x="201"/>
        <item x="80"/>
        <item x="88"/>
        <item x="53"/>
        <item x="234"/>
        <item x="16"/>
        <item x="42"/>
        <item x="69"/>
        <item x="6"/>
        <item x="20"/>
        <item x="36"/>
        <item x="416"/>
        <item x="316"/>
        <item x="331"/>
        <item x="31"/>
        <item x="458"/>
        <item x="9"/>
        <item x="126"/>
        <item x="161"/>
        <item x="57"/>
        <item x="132"/>
        <item x="86"/>
        <item x="192"/>
        <item x="130"/>
        <item x="434"/>
        <item x="85"/>
        <item x="199"/>
        <item x="14"/>
        <item x="363"/>
        <item x="298"/>
        <item x="154"/>
        <item x="25"/>
        <item x="315"/>
        <item x="135"/>
        <item x="43"/>
        <item x="402"/>
        <item x="299"/>
        <item x="50"/>
        <item x="225"/>
        <item x="103"/>
        <item x="30"/>
        <item x="60"/>
        <item x="138"/>
        <item x="421"/>
        <item x="238"/>
        <item x="90"/>
        <item x="151"/>
        <item x="64"/>
        <item x="8"/>
        <item x="164"/>
        <item x="94"/>
        <item x="7"/>
        <item x="33"/>
        <item x="193"/>
        <item x="35"/>
        <item x="191"/>
        <item x="55"/>
        <item x="208"/>
        <item x="39"/>
        <item x="73"/>
        <item x="98"/>
        <item x="84"/>
        <item x="28"/>
        <item x="0"/>
        <item x="77"/>
        <item t="default"/>
      </items>
    </pivotField>
    <pivotField dataField="1" numFmtId="164" showAll="0">
      <items count="500">
        <item x="376"/>
        <item x="449"/>
        <item x="297"/>
        <item x="447"/>
        <item x="319"/>
        <item x="432"/>
        <item x="436"/>
        <item x="210"/>
        <item x="205"/>
        <item x="490"/>
        <item x="213"/>
        <item x="167"/>
        <item x="377"/>
        <item x="493"/>
        <item x="335"/>
        <item x="181"/>
        <item x="477"/>
        <item x="497"/>
        <item x="43"/>
        <item x="485"/>
        <item x="430"/>
        <item x="150"/>
        <item x="423"/>
        <item x="290"/>
        <item x="419"/>
        <item x="77"/>
        <item x="143"/>
        <item x="460"/>
        <item x="439"/>
        <item x="379"/>
        <item x="193"/>
        <item x="323"/>
        <item x="473"/>
        <item x="354"/>
        <item x="416"/>
        <item x="279"/>
        <item x="406"/>
        <item x="315"/>
        <item x="320"/>
        <item x="270"/>
        <item x="311"/>
        <item x="316"/>
        <item x="272"/>
        <item x="475"/>
        <item x="80"/>
        <item x="413"/>
        <item x="256"/>
        <item x="465"/>
        <item x="347"/>
        <item x="466"/>
        <item x="431"/>
        <item x="340"/>
        <item x="486"/>
        <item x="137"/>
        <item x="401"/>
        <item x="427"/>
        <item x="168"/>
        <item x="221"/>
        <item x="293"/>
        <item x="188"/>
        <item x="469"/>
        <item x="361"/>
        <item x="390"/>
        <item x="392"/>
        <item x="496"/>
        <item x="263"/>
        <item x="141"/>
        <item x="491"/>
        <item x="177"/>
        <item x="391"/>
        <item x="365"/>
        <item x="371"/>
        <item x="255"/>
        <item x="410"/>
        <item x="332"/>
        <item x="453"/>
        <item x="433"/>
        <item x="414"/>
        <item x="402"/>
        <item x="70"/>
        <item x="461"/>
        <item x="254"/>
        <item x="219"/>
        <item x="396"/>
        <item x="292"/>
        <item x="237"/>
        <item x="330"/>
        <item x="132"/>
        <item x="492"/>
        <item x="134"/>
        <item x="50"/>
        <item x="459"/>
        <item x="257"/>
        <item x="387"/>
        <item x="314"/>
        <item x="380"/>
        <item x="450"/>
        <item x="482"/>
        <item x="495"/>
        <item x="359"/>
        <item x="363"/>
        <item x="163"/>
        <item x="346"/>
        <item x="252"/>
        <item x="386"/>
        <item x="488"/>
        <item x="422"/>
        <item x="185"/>
        <item x="162"/>
        <item x="357"/>
        <item x="243"/>
        <item x="487"/>
        <item x="241"/>
        <item x="382"/>
        <item x="403"/>
        <item x="336"/>
        <item x="470"/>
        <item x="102"/>
        <item x="481"/>
        <item x="350"/>
        <item x="327"/>
        <item x="381"/>
        <item x="259"/>
        <item x="398"/>
        <item x="367"/>
        <item x="111"/>
        <item x="454"/>
        <item x="291"/>
        <item x="284"/>
        <item x="440"/>
        <item x="342"/>
        <item x="153"/>
        <item x="184"/>
        <item x="494"/>
        <item x="489"/>
        <item x="234"/>
        <item x="476"/>
        <item x="368"/>
        <item x="145"/>
        <item x="87"/>
        <item x="456"/>
        <item x="442"/>
        <item x="418"/>
        <item x="337"/>
        <item x="176"/>
        <item x="248"/>
        <item x="355"/>
        <item x="474"/>
        <item x="462"/>
        <item x="249"/>
        <item x="400"/>
        <item x="364"/>
        <item x="344"/>
        <item x="274"/>
        <item x="136"/>
        <item x="457"/>
        <item x="200"/>
        <item x="393"/>
        <item x="299"/>
        <item x="82"/>
        <item x="360"/>
        <item x="443"/>
        <item x="247"/>
        <item x="269"/>
        <item x="438"/>
        <item x="425"/>
        <item x="196"/>
        <item x="156"/>
        <item x="238"/>
        <item x="372"/>
        <item x="334"/>
        <item x="166"/>
        <item x="352"/>
        <item x="303"/>
        <item x="244"/>
        <item x="463"/>
        <item x="203"/>
        <item x="79"/>
        <item x="498"/>
        <item x="480"/>
        <item x="96"/>
        <item x="232"/>
        <item x="300"/>
        <item x="214"/>
        <item x="318"/>
        <item x="467"/>
        <item x="405"/>
        <item x="395"/>
        <item x="154"/>
        <item x="385"/>
        <item x="329"/>
        <item x="129"/>
        <item x="135"/>
        <item x="451"/>
        <item x="471"/>
        <item x="353"/>
        <item x="285"/>
        <item x="85"/>
        <item x="478"/>
        <item x="479"/>
        <item x="362"/>
        <item x="261"/>
        <item x="62"/>
        <item x="301"/>
        <item x="384"/>
        <item x="95"/>
        <item x="341"/>
        <item x="151"/>
        <item x="71"/>
        <item x="84"/>
        <item x="366"/>
        <item x="446"/>
        <item x="411"/>
        <item x="194"/>
        <item x="484"/>
        <item x="294"/>
        <item x="266"/>
        <item x="264"/>
        <item x="224"/>
        <item x="148"/>
        <item x="201"/>
        <item x="251"/>
        <item x="445"/>
        <item x="39"/>
        <item x="437"/>
        <item x="349"/>
        <item x="92"/>
        <item x="288"/>
        <item x="458"/>
        <item x="307"/>
        <item x="420"/>
        <item x="233"/>
        <item x="286"/>
        <item x="157"/>
        <item x="444"/>
        <item x="273"/>
        <item x="296"/>
        <item x="113"/>
        <item x="191"/>
        <item x="265"/>
        <item x="356"/>
        <item x="236"/>
        <item x="421"/>
        <item x="217"/>
        <item x="216"/>
        <item x="107"/>
        <item x="326"/>
        <item x="358"/>
        <item x="197"/>
        <item x="225"/>
        <item x="441"/>
        <item x="109"/>
        <item x="429"/>
        <item x="108"/>
        <item x="190"/>
        <item x="101"/>
        <item x="123"/>
        <item x="455"/>
        <item x="428"/>
        <item x="435"/>
        <item x="72"/>
        <item x="338"/>
        <item x="407"/>
        <item x="64"/>
        <item x="76"/>
        <item x="155"/>
        <item x="448"/>
        <item x="128"/>
        <item x="212"/>
        <item x="229"/>
        <item x="397"/>
        <item x="302"/>
        <item x="345"/>
        <item x="57"/>
        <item x="277"/>
        <item x="171"/>
        <item x="394"/>
        <item x="161"/>
        <item x="69"/>
        <item x="183"/>
        <item x="404"/>
        <item x="409"/>
        <item x="339"/>
        <item x="231"/>
        <item x="127"/>
        <item x="199"/>
        <item x="25"/>
        <item x="55"/>
        <item x="268"/>
        <item x="375"/>
        <item x="130"/>
        <item x="118"/>
        <item x="215"/>
        <item x="20"/>
        <item x="370"/>
        <item x="208"/>
        <item x="16"/>
        <item x="298"/>
        <item x="138"/>
        <item x="280"/>
        <item x="152"/>
        <item x="464"/>
        <item x="165"/>
        <item x="283"/>
        <item x="65"/>
        <item x="424"/>
        <item x="68"/>
        <item x="106"/>
        <item x="333"/>
        <item x="328"/>
        <item x="211"/>
        <item x="309"/>
        <item x="389"/>
        <item x="149"/>
        <item x="472"/>
        <item x="262"/>
        <item x="434"/>
        <item x="287"/>
        <item x="468"/>
        <item x="209"/>
        <item x="240"/>
        <item x="74"/>
        <item x="313"/>
        <item x="139"/>
        <item x="415"/>
        <item x="186"/>
        <item x="220"/>
        <item x="140"/>
        <item x="182"/>
        <item x="218"/>
        <item x="45"/>
        <item x="133"/>
        <item x="49"/>
        <item x="253"/>
        <item x="46"/>
        <item x="383"/>
        <item x="27"/>
        <item x="42"/>
        <item x="34"/>
        <item x="19"/>
        <item x="170"/>
        <item x="61"/>
        <item x="54"/>
        <item x="97"/>
        <item x="38"/>
        <item x="289"/>
        <item x="426"/>
        <item x="281"/>
        <item x="122"/>
        <item x="91"/>
        <item x="378"/>
        <item x="369"/>
        <item x="417"/>
        <item x="192"/>
        <item x="260"/>
        <item x="412"/>
        <item x="53"/>
        <item x="306"/>
        <item x="147"/>
        <item x="317"/>
        <item x="88"/>
        <item x="250"/>
        <item x="308"/>
        <item x="9"/>
        <item x="86"/>
        <item x="228"/>
        <item x="304"/>
        <item x="81"/>
        <item x="204"/>
        <item x="121"/>
        <item x="235"/>
        <item x="483"/>
        <item x="58"/>
        <item x="312"/>
        <item x="399"/>
        <item x="83"/>
        <item x="103"/>
        <item x="178"/>
        <item x="124"/>
        <item x="325"/>
        <item x="63"/>
        <item x="89"/>
        <item x="66"/>
        <item x="175"/>
        <item x="242"/>
        <item x="78"/>
        <item x="271"/>
        <item x="98"/>
        <item x="24"/>
        <item x="388"/>
        <item x="117"/>
        <item x="30"/>
        <item x="41"/>
        <item x="67"/>
        <item x="258"/>
        <item x="310"/>
        <item x="343"/>
        <item x="120"/>
        <item x="222"/>
        <item x="322"/>
        <item x="10"/>
        <item x="126"/>
        <item x="131"/>
        <item x="223"/>
        <item x="331"/>
        <item x="100"/>
        <item x="12"/>
        <item x="374"/>
        <item x="267"/>
        <item x="144"/>
        <item x="104"/>
        <item x="245"/>
        <item x="160"/>
        <item x="22"/>
        <item x="348"/>
        <item x="4"/>
        <item x="207"/>
        <item x="28"/>
        <item x="112"/>
        <item x="51"/>
        <item x="29"/>
        <item x="36"/>
        <item x="282"/>
        <item x="73"/>
        <item x="1"/>
        <item x="119"/>
        <item x="324"/>
        <item x="17"/>
        <item x="187"/>
        <item x="31"/>
        <item x="93"/>
        <item x="60"/>
        <item x="227"/>
        <item x="164"/>
        <item x="48"/>
        <item x="90"/>
        <item x="278"/>
        <item x="18"/>
        <item x="275"/>
        <item x="180"/>
        <item x="172"/>
        <item x="174"/>
        <item x="158"/>
        <item x="13"/>
        <item x="0"/>
        <item x="198"/>
        <item x="195"/>
        <item x="202"/>
        <item x="115"/>
        <item x="8"/>
        <item x="305"/>
        <item x="452"/>
        <item x="2"/>
        <item x="125"/>
        <item x="32"/>
        <item x="94"/>
        <item x="169"/>
        <item x="110"/>
        <item x="7"/>
        <item x="321"/>
        <item x="35"/>
        <item x="37"/>
        <item x="14"/>
        <item x="33"/>
        <item x="23"/>
        <item x="179"/>
        <item x="189"/>
        <item x="75"/>
        <item x="105"/>
        <item x="295"/>
        <item x="230"/>
        <item x="59"/>
        <item x="142"/>
        <item x="373"/>
        <item x="246"/>
        <item x="276"/>
        <item x="408"/>
        <item x="26"/>
        <item x="52"/>
        <item x="114"/>
        <item x="99"/>
        <item x="56"/>
        <item x="47"/>
        <item x="11"/>
        <item x="159"/>
        <item x="5"/>
        <item x="146"/>
        <item x="116"/>
        <item x="239"/>
        <item x="226"/>
        <item x="15"/>
        <item x="173"/>
        <item x="40"/>
        <item x="44"/>
        <item x="351"/>
        <item x="21"/>
        <item x="206"/>
        <item x="3"/>
        <item x="6"/>
        <item t="default"/>
      </items>
    </pivotField>
    <pivotField numFmtId="164" showAll="0">
      <items count="501">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61"/>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362"/>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s>
  <rowFields count="1">
    <field x="3"/>
  </rowFields>
  <rowItems count="5">
    <i>
      <x/>
    </i>
    <i>
      <x v="1"/>
    </i>
    <i>
      <x v="2"/>
    </i>
    <i>
      <x v="3"/>
    </i>
    <i t="grand">
      <x/>
    </i>
  </rowItems>
  <colFields count="1">
    <field x="-2"/>
  </colFields>
  <colItems count="4">
    <i>
      <x/>
    </i>
    <i i="1">
      <x v="1"/>
    </i>
    <i i="2">
      <x v="2"/>
    </i>
    <i i="3">
      <x v="3"/>
    </i>
  </colItems>
  <dataFields count="4">
    <dataField name="Sum of Sales (Q1)" fld="6" baseField="0" baseItem="0" numFmtId="164"/>
    <dataField name="Sum of Sales (Q2)" fld="7" baseField="0" baseItem="0" numFmtId="164"/>
    <dataField name="Sum of Sales (Q3)" fld="8" baseField="0" baseItem="0" numFmtId="164"/>
    <dataField name="Sum of Sales (Q4)" fld="9" baseField="0" baseItem="0" numFmtId="164"/>
  </dataFields>
  <formats count="12">
    <format dxfId="67">
      <pivotArea type="all" dataOnly="0" outline="0" fieldPosition="0"/>
    </format>
    <format dxfId="66">
      <pivotArea outline="0" collapsedLevelsAreSubtotals="1" fieldPosition="0"/>
    </format>
    <format dxfId="65">
      <pivotArea field="3" type="button" dataOnly="0" labelOnly="1" outline="0" axis="axisRow" fieldPosition="0"/>
    </format>
    <format dxfId="64">
      <pivotArea dataOnly="0" labelOnly="1" fieldPosition="0">
        <references count="1">
          <reference field="3" count="0"/>
        </references>
      </pivotArea>
    </format>
    <format dxfId="63">
      <pivotArea dataOnly="0" labelOnly="1" grandRow="1" outline="0" fieldPosition="0"/>
    </format>
    <format dxfId="62">
      <pivotArea dataOnly="0" labelOnly="1" outline="0" fieldPosition="0">
        <references count="1">
          <reference field="4294967294" count="4">
            <x v="0"/>
            <x v="1"/>
            <x v="2"/>
            <x v="3"/>
          </reference>
        </references>
      </pivotArea>
    </format>
    <format dxfId="61">
      <pivotArea type="all" dataOnly="0" outline="0" fieldPosition="0"/>
    </format>
    <format dxfId="60">
      <pivotArea outline="0" collapsedLevelsAreSubtotals="1" fieldPosition="0"/>
    </format>
    <format dxfId="59">
      <pivotArea field="3" type="button" dataOnly="0" labelOnly="1" outline="0" axis="axisRow" fieldPosition="0"/>
    </format>
    <format dxfId="58">
      <pivotArea dataOnly="0" labelOnly="1" fieldPosition="0">
        <references count="1">
          <reference field="3" count="0"/>
        </references>
      </pivotArea>
    </format>
    <format dxfId="57">
      <pivotArea dataOnly="0" labelOnly="1" grandRow="1" outline="0" fieldPosition="0"/>
    </format>
    <format dxfId="56">
      <pivotArea dataOnly="0" labelOnly="1" outline="0" fieldPosition="0">
        <references count="1">
          <reference field="4294967294" count="4">
            <x v="0"/>
            <x v="1"/>
            <x v="2"/>
            <x v="3"/>
          </reference>
        </references>
      </pivotArea>
    </format>
  </format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4C406B-0307-4087-977D-C6F9707E48D4}" name="PivotTable2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3">
    <pivotField showAll="0"/>
    <pivotField showAll="0">
      <items count="218">
        <item x="56"/>
        <item x="170"/>
        <item x="166"/>
        <item x="194"/>
        <item x="57"/>
        <item x="65"/>
        <item x="105"/>
        <item x="123"/>
        <item x="136"/>
        <item x="18"/>
        <item x="96"/>
        <item x="183"/>
        <item x="76"/>
        <item x="154"/>
        <item x="182"/>
        <item x="195"/>
        <item x="21"/>
        <item x="52"/>
        <item x="192"/>
        <item x="46"/>
        <item x="42"/>
        <item x="213"/>
        <item x="15"/>
        <item x="59"/>
        <item x="81"/>
        <item x="22"/>
        <item x="215"/>
        <item x="39"/>
        <item x="86"/>
        <item x="16"/>
        <item x="61"/>
        <item x="112"/>
        <item x="100"/>
        <item x="89"/>
        <item x="87"/>
        <item x="5"/>
        <item x="199"/>
        <item x="177"/>
        <item x="191"/>
        <item x="214"/>
        <item x="0"/>
        <item x="29"/>
        <item x="23"/>
        <item x="97"/>
        <item x="141"/>
        <item x="67"/>
        <item x="2"/>
        <item x="35"/>
        <item x="205"/>
        <item x="32"/>
        <item x="124"/>
        <item x="10"/>
        <item x="3"/>
        <item x="99"/>
        <item x="6"/>
        <item x="13"/>
        <item x="88"/>
        <item x="173"/>
        <item x="133"/>
        <item x="12"/>
        <item x="120"/>
        <item x="151"/>
        <item x="163"/>
        <item x="193"/>
        <item x="125"/>
        <item x="153"/>
        <item x="4"/>
        <item x="150"/>
        <item x="27"/>
        <item x="208"/>
        <item x="73"/>
        <item x="212"/>
        <item x="114"/>
        <item x="138"/>
        <item x="131"/>
        <item x="108"/>
        <item x="37"/>
        <item x="145"/>
        <item x="109"/>
        <item x="130"/>
        <item x="25"/>
        <item x="40"/>
        <item x="75"/>
        <item x="7"/>
        <item x="180"/>
        <item x="94"/>
        <item x="137"/>
        <item x="64"/>
        <item x="106"/>
        <item x="80"/>
        <item x="178"/>
        <item x="107"/>
        <item x="68"/>
        <item x="103"/>
        <item x="50"/>
        <item x="102"/>
        <item x="172"/>
        <item x="162"/>
        <item x="210"/>
        <item x="117"/>
        <item x="198"/>
        <item x="164"/>
        <item x="160"/>
        <item x="156"/>
        <item x="55"/>
        <item x="159"/>
        <item x="176"/>
        <item x="185"/>
        <item x="204"/>
        <item x="17"/>
        <item x="85"/>
        <item x="186"/>
        <item x="54"/>
        <item x="51"/>
        <item x="146"/>
        <item x="66"/>
        <item x="149"/>
        <item x="187"/>
        <item x="189"/>
        <item x="119"/>
        <item x="111"/>
        <item x="128"/>
        <item x="161"/>
        <item x="1"/>
        <item x="203"/>
        <item x="190"/>
        <item x="101"/>
        <item x="147"/>
        <item x="95"/>
        <item x="78"/>
        <item x="82"/>
        <item x="53"/>
        <item x="139"/>
        <item x="49"/>
        <item x="70"/>
        <item x="58"/>
        <item x="83"/>
        <item x="14"/>
        <item x="132"/>
        <item x="158"/>
        <item x="165"/>
        <item x="8"/>
        <item x="202"/>
        <item x="91"/>
        <item x="77"/>
        <item x="122"/>
        <item x="144"/>
        <item x="79"/>
        <item x="206"/>
        <item x="126"/>
        <item x="63"/>
        <item x="181"/>
        <item x="84"/>
        <item x="168"/>
        <item x="140"/>
        <item x="30"/>
        <item x="62"/>
        <item x="31"/>
        <item x="44"/>
        <item x="216"/>
        <item x="71"/>
        <item x="47"/>
        <item x="188"/>
        <item x="148"/>
        <item x="38"/>
        <item x="179"/>
        <item x="211"/>
        <item x="201"/>
        <item x="72"/>
        <item x="118"/>
        <item x="197"/>
        <item x="45"/>
        <item x="200"/>
        <item x="155"/>
        <item x="121"/>
        <item x="36"/>
        <item x="98"/>
        <item x="134"/>
        <item x="196"/>
        <item x="152"/>
        <item x="24"/>
        <item x="157"/>
        <item x="34"/>
        <item x="207"/>
        <item x="93"/>
        <item x="104"/>
        <item x="135"/>
        <item x="20"/>
        <item x="92"/>
        <item x="113"/>
        <item x="142"/>
        <item x="90"/>
        <item x="127"/>
        <item x="143"/>
        <item x="11"/>
        <item x="69"/>
        <item x="48"/>
        <item x="129"/>
        <item x="33"/>
        <item x="74"/>
        <item x="171"/>
        <item x="116"/>
        <item x="60"/>
        <item x="115"/>
        <item x="19"/>
        <item x="43"/>
        <item x="28"/>
        <item x="167"/>
        <item x="110"/>
        <item x="175"/>
        <item x="41"/>
        <item x="209"/>
        <item x="184"/>
        <item x="174"/>
        <item x="9"/>
        <item x="26"/>
        <item x="169"/>
        <item t="default"/>
      </items>
    </pivotField>
    <pivotField showAll="0"/>
    <pivotField showAll="0">
      <items count="5">
        <item x="1"/>
        <item x="3"/>
        <item x="0"/>
        <item x="2"/>
        <item t="default"/>
      </items>
    </pivotField>
    <pivotField showAll="0"/>
    <pivotField showAll="0"/>
    <pivotField numFmtId="164" showAll="0"/>
    <pivotField numFmtId="164" showAll="0"/>
    <pivotField numFmtId="164" showAll="0"/>
    <pivotField numFmtId="164" showAll="0"/>
    <pivotField dataField="1" numFmtId="164" showAll="0"/>
    <pivotField showAll="0"/>
    <pivotField showAll="0"/>
  </pivotFields>
  <rowItems count="1">
    <i/>
  </rowItems>
  <colItems count="1">
    <i/>
  </colItems>
  <dataFields count="1">
    <dataField name="Sum of Employee Total Sales" fld="10" baseField="0" baseItem="0" numFmtId="164"/>
  </dataFields>
  <formats count="6">
    <format dxfId="73">
      <pivotArea type="all" dataOnly="0" outline="0" fieldPosition="0"/>
    </format>
    <format dxfId="72">
      <pivotArea outline="0" collapsedLevelsAreSubtotals="1"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D44B3ABF-A82C-42F2-B6FC-49AF9983E64C}" sourceName="Name">
  <pivotTables>
    <pivotTable tabId="8" name="PivotTable32"/>
  </pivotTables>
  <data>
    <tabular pivotCacheId="640894638">
      <items count="217">
        <i x="56" s="1"/>
        <i x="170" s="1"/>
        <i x="166" s="1"/>
        <i x="194" s="1"/>
        <i x="57" s="1"/>
        <i x="65" s="1"/>
        <i x="105" s="1"/>
        <i x="123" s="1"/>
        <i x="136" s="1"/>
        <i x="18" s="1"/>
        <i x="96" s="1"/>
        <i x="183" s="1"/>
        <i x="76" s="1"/>
        <i x="154" s="1"/>
        <i x="182" s="1"/>
        <i x="195" s="1"/>
        <i x="21" s="1"/>
        <i x="52" s="1"/>
        <i x="192" s="1"/>
        <i x="46" s="1"/>
        <i x="42" s="1"/>
        <i x="213" s="1"/>
        <i x="15" s="1"/>
        <i x="59" s="1"/>
        <i x="81" s="1"/>
        <i x="22" s="1"/>
        <i x="215" s="1"/>
        <i x="39" s="1"/>
        <i x="86" s="1"/>
        <i x="16" s="1"/>
        <i x="61" s="1"/>
        <i x="112" s="1"/>
        <i x="100" s="1"/>
        <i x="89" s="1"/>
        <i x="87" s="1"/>
        <i x="5" s="1"/>
        <i x="199" s="1"/>
        <i x="177" s="1"/>
        <i x="191" s="1"/>
        <i x="214" s="1"/>
        <i x="0" s="1"/>
        <i x="29" s="1"/>
        <i x="23" s="1"/>
        <i x="97" s="1"/>
        <i x="141" s="1"/>
        <i x="67" s="1"/>
        <i x="2" s="1"/>
        <i x="35" s="1"/>
        <i x="205" s="1"/>
        <i x="32" s="1"/>
        <i x="124" s="1"/>
        <i x="10" s="1"/>
        <i x="3" s="1"/>
        <i x="99" s="1"/>
        <i x="6" s="1"/>
        <i x="13" s="1"/>
        <i x="88" s="1"/>
        <i x="173" s="1"/>
        <i x="133" s="1"/>
        <i x="12" s="1"/>
        <i x="120" s="1"/>
        <i x="151" s="1"/>
        <i x="163" s="1"/>
        <i x="193" s="1"/>
        <i x="125" s="1"/>
        <i x="153" s="1"/>
        <i x="4" s="1"/>
        <i x="150" s="1"/>
        <i x="27" s="1"/>
        <i x="208" s="1"/>
        <i x="73" s="1"/>
        <i x="212" s="1"/>
        <i x="114" s="1"/>
        <i x="138" s="1"/>
        <i x="131" s="1"/>
        <i x="108" s="1"/>
        <i x="37" s="1"/>
        <i x="145" s="1"/>
        <i x="109" s="1"/>
        <i x="130" s="1"/>
        <i x="25" s="1"/>
        <i x="40" s="1"/>
        <i x="75" s="1"/>
        <i x="7" s="1"/>
        <i x="180" s="1"/>
        <i x="94" s="1"/>
        <i x="137" s="1"/>
        <i x="64" s="1"/>
        <i x="106" s="1"/>
        <i x="80" s="1"/>
        <i x="178" s="1"/>
        <i x="107" s="1"/>
        <i x="68" s="1"/>
        <i x="103" s="1"/>
        <i x="50" s="1"/>
        <i x="102" s="1"/>
        <i x="172" s="1"/>
        <i x="162" s="1"/>
        <i x="210" s="1"/>
        <i x="117" s="1"/>
        <i x="198" s="1"/>
        <i x="164" s="1"/>
        <i x="160" s="1"/>
        <i x="156" s="1"/>
        <i x="55" s="1"/>
        <i x="159" s="1"/>
        <i x="176" s="1"/>
        <i x="185" s="1"/>
        <i x="204" s="1"/>
        <i x="17" s="1"/>
        <i x="85" s="1"/>
        <i x="186" s="1"/>
        <i x="54" s="1"/>
        <i x="51" s="1"/>
        <i x="146" s="1"/>
        <i x="66" s="1"/>
        <i x="149" s="1"/>
        <i x="187" s="1"/>
        <i x="189" s="1"/>
        <i x="119" s="1"/>
        <i x="111" s="1"/>
        <i x="128" s="1"/>
        <i x="161" s="1"/>
        <i x="1" s="1"/>
        <i x="203" s="1"/>
        <i x="190" s="1"/>
        <i x="101" s="1"/>
        <i x="147" s="1"/>
        <i x="95" s="1"/>
        <i x="78" s="1"/>
        <i x="82" s="1"/>
        <i x="53" s="1"/>
        <i x="139" s="1"/>
        <i x="49" s="1"/>
        <i x="70" s="1"/>
        <i x="58" s="1"/>
        <i x="83" s="1"/>
        <i x="14" s="1"/>
        <i x="132" s="1"/>
        <i x="158" s="1"/>
        <i x="165" s="1"/>
        <i x="8" s="1"/>
        <i x="202" s="1"/>
        <i x="91" s="1"/>
        <i x="77" s="1"/>
        <i x="122" s="1"/>
        <i x="144" s="1"/>
        <i x="79" s="1"/>
        <i x="206" s="1"/>
        <i x="126" s="1"/>
        <i x="63" s="1"/>
        <i x="181" s="1"/>
        <i x="84" s="1"/>
        <i x="168" s="1"/>
        <i x="140" s="1"/>
        <i x="30" s="1"/>
        <i x="62" s="1"/>
        <i x="31" s="1"/>
        <i x="44" s="1"/>
        <i x="216" s="1"/>
        <i x="71" s="1"/>
        <i x="47" s="1"/>
        <i x="188" s="1"/>
        <i x="148" s="1"/>
        <i x="38" s="1"/>
        <i x="179" s="1"/>
        <i x="211" s="1"/>
        <i x="201" s="1"/>
        <i x="72" s="1"/>
        <i x="118" s="1"/>
        <i x="197" s="1"/>
        <i x="45" s="1"/>
        <i x="200" s="1"/>
        <i x="155" s="1"/>
        <i x="121" s="1"/>
        <i x="36" s="1"/>
        <i x="98" s="1"/>
        <i x="134" s="1"/>
        <i x="196" s="1"/>
        <i x="152" s="1"/>
        <i x="24" s="1"/>
        <i x="157" s="1"/>
        <i x="34" s="1"/>
        <i x="207" s="1"/>
        <i x="93" s="1"/>
        <i x="104" s="1"/>
        <i x="135" s="1"/>
        <i x="20" s="1"/>
        <i x="92" s="1"/>
        <i x="113" s="1"/>
        <i x="142" s="1"/>
        <i x="90" s="1"/>
        <i x="127" s="1"/>
        <i x="143" s="1"/>
        <i x="11" s="1"/>
        <i x="69" s="1"/>
        <i x="48" s="1"/>
        <i x="129" s="1"/>
        <i x="33" s="1"/>
        <i x="74" s="1"/>
        <i x="171" s="1"/>
        <i x="116" s="1"/>
        <i x="60" s="1"/>
        <i x="115" s="1"/>
        <i x="19" s="1"/>
        <i x="43" s="1"/>
        <i x="28" s="1"/>
        <i x="167" s="1"/>
        <i x="110" s="1"/>
        <i x="175" s="1"/>
        <i x="41" s="1"/>
        <i x="209" s="1"/>
        <i x="184" s="1"/>
        <i x="174" s="1"/>
        <i x="9" s="1"/>
        <i x="26" s="1"/>
        <i x="1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17E3A68-08A1-4313-997A-9BE85BB5F787}" sourceName="Department">
  <pivotTables>
    <pivotTable tabId="8" name="PivotTable32"/>
  </pivotTables>
  <data>
    <tabular pivotCacheId="640894638">
      <items count="7">
        <i x="1" s="1"/>
        <i x="4" s="1"/>
        <i x="5" s="1"/>
        <i x="2" s="1"/>
        <i x="6"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3B4609-F719-438E-8BFE-3B5B78103648}" sourceName="Region">
  <pivotTables>
    <pivotTable tabId="8" name="PivotTable32"/>
  </pivotTables>
  <data>
    <tabular pivotCacheId="640894638">
      <items count="4">
        <i x="1" s="1"/>
        <i x="3"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_Q1" xr10:uid="{500F87D6-AA60-44EE-8518-58A43391EBA6}" sourceName="Sales (Q1)">
  <pivotTables>
    <pivotTable tabId="8" name="PivotTable32"/>
  </pivotTables>
  <data>
    <tabular pivotCacheId="640894638">
      <items count="496">
        <i x="250" s="1"/>
        <i x="402" s="1"/>
        <i x="478" s="1"/>
        <i x="336" s="1"/>
        <i x="379" s="1"/>
        <i x="406" s="1"/>
        <i x="342" s="1"/>
        <i x="494" s="1"/>
        <i x="400" s="1"/>
        <i x="140" s="1"/>
        <i x="488" s="1"/>
        <i x="291" s="1"/>
        <i x="441" s="1"/>
        <i x="352" s="1"/>
        <i x="324" s="1"/>
        <i x="170" s="1"/>
        <i x="449" s="1"/>
        <i x="392" s="1"/>
        <i x="462" s="1"/>
        <i x="263" s="1"/>
        <i x="331" s="1"/>
        <i x="415" s="1"/>
        <i x="301" s="1"/>
        <i x="159" s="1"/>
        <i x="431" s="1"/>
        <i x="227" s="1"/>
        <i x="416" s="1"/>
        <i x="382" s="1"/>
        <i x="312" s="1"/>
        <i x="476" s="1"/>
        <i x="469" s="1"/>
        <i x="398" s="1"/>
        <i x="222" s="1"/>
        <i x="403" s="1"/>
        <i x="458" s="1"/>
        <i x="465" s="1"/>
        <i x="359" s="1"/>
        <i x="297" s="1"/>
        <i x="155" s="1"/>
        <i x="374" s="1"/>
        <i x="377" s="1"/>
        <i x="466" s="1"/>
        <i x="316" s="1"/>
        <i x="326" s="1"/>
        <i x="442" s="1"/>
        <i x="340" s="1"/>
        <i x="414" s="1"/>
        <i x="300" s="1"/>
        <i x="452" s="1"/>
        <i x="485" s="1"/>
        <i x="236" s="1"/>
        <i x="86" s="1"/>
        <i x="103" s="1"/>
        <i x="35" s="1"/>
        <i x="468" s="1"/>
        <i x="489" s="1"/>
        <i x="239" s="1"/>
        <i x="369" s="1"/>
        <i x="395" s="1"/>
        <i x="294" s="1"/>
        <i x="427" s="1"/>
        <i x="311" s="1"/>
        <i x="114" s="1"/>
        <i x="274" s="1"/>
        <i x="350" s="1"/>
        <i x="245" s="1"/>
        <i x="180" s="1"/>
        <i x="470" s="1"/>
        <i x="201" s="1"/>
        <i x="495" s="1"/>
        <i x="486" s="1"/>
        <i x="329" s="1"/>
        <i x="219" s="1"/>
        <i x="375" s="1"/>
        <i x="154" s="1"/>
        <i x="491" s="1"/>
        <i x="477" s="1"/>
        <i x="410" s="1"/>
        <i x="399" s="1"/>
        <i x="299" s="1"/>
        <i x="93" s="1"/>
        <i x="490" s="1"/>
        <i x="44" s="1"/>
        <i x="332" s="1"/>
        <i x="362" s="1"/>
        <i x="367" s="1"/>
        <i x="448" s="1"/>
        <i x="461" s="1"/>
        <i x="435" s="1"/>
        <i x="164" s="1"/>
        <i x="307" s="1"/>
        <i x="179" s="1"/>
        <i x="280" s="1"/>
        <i x="206" s="1"/>
        <i x="453" s="1"/>
        <i x="450" s="1"/>
        <i x="390" s="1"/>
        <i x="393" s="1"/>
        <i x="308" s="1"/>
        <i x="288" s="1"/>
        <i x="189" s="1"/>
        <i x="64" s="1"/>
        <i x="386" s="1"/>
        <i x="358" s="1"/>
        <i x="60" s="1"/>
        <i x="282" s="1"/>
        <i x="492" s="1"/>
        <i x="213" s="1"/>
        <i x="232" s="1"/>
        <i x="237" s="1"/>
        <i x="30" s="1"/>
        <i x="370" s="1"/>
        <i x="419" s="1"/>
        <i x="194" s="1"/>
        <i x="314" s="1"/>
        <i x="341" s="1"/>
        <i x="317" s="1"/>
        <i x="347" s="1"/>
        <i x="420" s="1"/>
        <i x="447" s="1"/>
        <i x="457" s="1"/>
        <i x="327" s="1"/>
        <i x="272" s="1"/>
        <i x="480" s="1"/>
        <i x="241" s="1"/>
        <i x="385" s="1"/>
        <i x="255" s="1"/>
        <i x="270" s="1"/>
        <i x="37" s="1"/>
        <i x="433" s="1"/>
        <i x="174" s="1"/>
        <i x="440" s="1"/>
        <i x="28" s="1"/>
        <i x="57" s="1"/>
        <i x="493" s="1"/>
        <i x="186" s="1"/>
        <i x="175" s="1"/>
        <i x="444" s="1"/>
        <i x="337" s="1"/>
        <i x="463" s="1"/>
        <i x="445" s="1"/>
        <i x="482" s="1"/>
        <i x="425" s="1"/>
        <i x="188" s="1"/>
        <i x="394" s="1"/>
        <i x="325" s="1"/>
        <i x="487" s="1"/>
        <i x="149" s="1"/>
        <i x="66" s="1"/>
        <i x="254" s="1"/>
        <i x="48" s="1"/>
        <i x="277" s="1"/>
        <i x="276" s="1"/>
        <i x="202" s="1"/>
        <i x="162" s="1"/>
        <i x="464" s="1"/>
        <i x="323" s="1"/>
        <i x="318" s="1"/>
        <i x="190" s="1"/>
        <i x="334" s="1"/>
        <i x="474" s="1"/>
        <i x="131" s="1"/>
        <i x="69" s="1"/>
        <i x="129" s="1"/>
        <i x="413" s="1"/>
        <i x="368" s="1"/>
        <i x="333" s="1"/>
        <i x="397" s="1"/>
        <i x="88" s="1"/>
        <i x="328" s="1"/>
        <i x="264" s="1"/>
        <i x="235" s="1"/>
        <i x="454" s="1"/>
        <i x="242" s="1"/>
        <i x="207" s="1"/>
        <i x="319" s="1"/>
        <i x="305" s="1"/>
        <i x="424" s="1"/>
        <i x="97" s="1"/>
        <i x="411" s="1"/>
        <i x="158" s="1"/>
        <i x="211" s="1"/>
        <i x="157" s="1"/>
        <i x="422" s="1"/>
        <i x="432" s="1"/>
        <i x="421" s="1"/>
        <i x="260" s="1"/>
        <i x="120" s="1"/>
        <i x="330" s="1"/>
        <i x="261" s="1"/>
        <i x="127" s="1"/>
        <i x="226" s="1"/>
        <i x="187" s="1"/>
        <i x="22" s="1"/>
        <i x="119" s="1"/>
        <i x="471" s="1"/>
        <i x="405" s="1"/>
        <i x="31" s="1"/>
        <i x="233" s="1"/>
        <i x="373" s="1"/>
        <i x="91" s="1"/>
        <i x="238" s="1"/>
        <i x="89" s="1"/>
        <i x="203" s="1"/>
        <i x="339" s="1"/>
        <i x="451" s="1"/>
        <i x="212" s="1"/>
        <i x="142" s="1"/>
        <i x="293" s="1"/>
        <i x="148" s="1"/>
        <i x="199" s="1"/>
        <i x="388" s="1"/>
        <i x="479" s="1"/>
        <i x="387" s="1"/>
        <i x="133" s="1"/>
        <i x="460" s="1"/>
        <i x="108" s="1"/>
        <i x="407" s="1"/>
        <i x="99" s="1"/>
        <i x="253" s="1"/>
        <i x="408" s="1"/>
        <i x="84" s="1"/>
        <i x="417" s="1"/>
        <i x="354" s="1"/>
        <i x="221" s="1"/>
        <i x="163" s="1"/>
        <i x="172" s="1"/>
        <i x="45" s="1"/>
        <i x="418" s="1"/>
        <i x="122" s="1"/>
        <i x="396" s="1"/>
        <i x="426" s="1"/>
        <i x="171" s="1"/>
        <i x="74" s="1"/>
        <i x="343" s="1"/>
        <i x="39" s="1"/>
        <i x="467" s="1"/>
        <i x="481" s="1"/>
        <i x="472" s="1"/>
        <i x="104" s="1"/>
        <i x="278" s="1"/>
        <i x="217" s="1"/>
        <i x="61" s="1"/>
        <i x="348" s="1"/>
        <i x="271" s="1"/>
        <i x="259" s="1"/>
        <i x="309" s="1"/>
        <i x="244" s="1"/>
        <i x="68" s="1"/>
        <i x="302" s="1"/>
        <i x="321" s="1"/>
        <i x="313" s="1"/>
        <i x="391" s="1"/>
        <i x="304" s="1"/>
        <i x="208" s="1"/>
        <i x="285" s="1"/>
        <i x="126" s="1"/>
        <i x="183" s="1"/>
        <i x="456" s="1"/>
        <i x="290" s="1"/>
        <i x="198" s="1"/>
        <i x="67" s="1"/>
        <i x="55" s="1"/>
        <i x="286" s="1"/>
        <i x="216" s="1"/>
        <i x="443" s="1"/>
        <i x="409" s="1"/>
        <i x="281" s="1"/>
        <i x="14" s="1"/>
        <i x="214" s="1"/>
        <i x="178" s="1"/>
        <i x="353" s="1"/>
        <i x="257" s="1"/>
        <i x="6" s="1"/>
        <i x="116" s="1"/>
        <i x="63" s="1"/>
        <i x="310" s="1"/>
        <i x="54" s="1"/>
        <i x="151" s="1"/>
        <i x="436" s="1"/>
        <i x="437" s="1"/>
        <i x="438" s="1"/>
        <i x="75" s="1"/>
        <i x="269" s="1"/>
        <i x="231" s="1"/>
        <i x="365" s="1"/>
        <i x="284" s="1"/>
        <i x="94" s="1"/>
        <i x="346" s="1"/>
        <i x="383" s="1"/>
        <i x="166" s="1"/>
        <i x="446" s="1"/>
        <i x="355" s="1"/>
        <i x="303" s="1"/>
        <i x="475" s="1"/>
        <i x="13" s="1"/>
        <i x="112" s="1"/>
        <i x="401" s="1"/>
        <i x="146" s="1"/>
        <i x="251" s="1"/>
        <i x="106" s="1"/>
        <i x="42" s="1"/>
        <i x="258" s="1"/>
        <i x="200" s="1"/>
        <i x="338" s="1"/>
        <i x="65" s="1"/>
        <i x="381" s="1"/>
        <i x="267" s="1"/>
        <i x="356" s="1"/>
        <i x="29" s="1"/>
        <i x="434" s="1"/>
        <i x="320" s="1"/>
        <i x="110" s="1"/>
        <i x="98" s="1"/>
        <i x="7" s="1"/>
        <i x="111" s="1"/>
        <i x="287" s="1"/>
        <i x="144" s="1"/>
        <i x="115" s="1"/>
        <i x="484" s="1"/>
        <i x="59" s="1"/>
        <i x="90" s="1"/>
        <i x="138" s="1"/>
        <i x="423" s="1"/>
        <i x="265" s="1"/>
        <i x="256" s="1"/>
        <i x="46" s="1"/>
        <i x="252" s="1"/>
        <i x="295" s="1"/>
        <i x="87" s="1"/>
        <i x="306" s="1"/>
        <i x="191" s="1"/>
        <i x="41" s="1"/>
        <i x="165" s="1"/>
        <i x="161" s="1"/>
        <i x="296" s="1"/>
        <i x="344" s="1"/>
        <i x="152" s="1"/>
        <i x="47" s="1"/>
        <i x="240" s="1"/>
        <i x="10" s="1"/>
        <i x="53" s="1"/>
        <i x="113" s="1"/>
        <i x="80" s="1"/>
        <i x="366" s="1"/>
        <i x="107" s="1"/>
        <i x="26" s="1"/>
        <i x="16" s="1"/>
        <i x="73" s="1"/>
        <i x="229" s="1"/>
        <i x="345" s="1"/>
        <i x="182" s="1"/>
        <i x="483" s="1"/>
        <i x="218" s="1"/>
        <i x="196" s="1"/>
        <i x="224" s="1"/>
        <i x="195" s="1"/>
        <i x="349" s="1"/>
        <i x="36" s="1"/>
        <i x="9" s="1"/>
        <i x="17" s="1"/>
        <i x="193" s="1"/>
        <i x="23" s="1"/>
        <i x="283" s="1"/>
        <i x="376" s="1"/>
        <i x="266" s="1"/>
        <i x="223" s="1"/>
        <i x="378" s="1"/>
        <i x="11" s="1"/>
        <i x="371" s="1"/>
        <i x="412" s="1"/>
        <i x="105" s="1"/>
        <i x="121" s="1"/>
        <i x="363" s="1"/>
        <i x="209" s="1"/>
        <i x="404" s="1"/>
        <i x="79" s="1"/>
        <i x="225" s="1"/>
        <i x="197" s="1"/>
        <i x="100" s="1"/>
        <i x="335" s="1"/>
        <i x="15" s="1"/>
        <i x="234" s="1"/>
        <i x="215" s="1"/>
        <i x="473" s="1"/>
        <i x="459" s="1"/>
        <i x="364" s="1"/>
        <i x="429" s="1"/>
        <i x="181" s="1"/>
        <i x="220" s="1"/>
        <i x="292" s="1"/>
        <i x="268" s="1"/>
        <i x="455" s="1"/>
        <i x="204" s="1"/>
        <i x="3" s="1"/>
        <i x="78" s="1"/>
        <i x="185" s="1"/>
        <i x="173" s="1"/>
        <i x="141" s="1"/>
        <i x="230" s="1"/>
        <i x="145" s="1"/>
        <i x="85" s="1"/>
        <i x="384" s="1"/>
        <i x="273" s="1"/>
        <i x="130" s="1"/>
        <i x="24" s="1"/>
        <i x="246" s="1"/>
        <i x="315" s="1"/>
        <i x="56" s="1"/>
        <i x="360" s="1"/>
        <i x="134" s="1"/>
        <i x="210" s="1"/>
        <i x="40" s="1"/>
        <i x="72" s="1"/>
        <i x="49" s="1"/>
        <i x="147" s="1"/>
        <i x="192" s="1"/>
        <i x="19" s="1"/>
        <i x="81" s="1"/>
        <i x="21" s="1"/>
        <i x="361" s="1"/>
        <i x="228" s="1"/>
        <i x="125" s="1"/>
        <i x="102" s="1"/>
        <i x="137" s="1"/>
        <i x="247" s="1"/>
        <i x="76" s="1"/>
        <i x="123" s="1"/>
        <i x="275" s="1"/>
        <i x="262" s="1"/>
        <i x="95" s="1"/>
        <i x="83" s="1"/>
        <i x="96" s="1"/>
        <i x="279" s="1"/>
        <i x="169" s="1"/>
        <i x="128" s="1"/>
        <i x="439" s="1"/>
        <i x="109" s="1"/>
        <i x="430" s="1"/>
        <i x="12" s="1"/>
        <i x="177" s="1"/>
        <i x="51" s="1"/>
        <i x="205" s="1"/>
        <i x="2" s="1"/>
        <i x="389" s="1"/>
        <i x="58" s="1"/>
        <i x="249" s="1"/>
        <i x="372" s="1"/>
        <i x="27" s="1"/>
        <i x="248" s="1"/>
        <i x="143" s="1"/>
        <i x="117" s="1"/>
        <i x="168" s="1"/>
        <i x="380" s="1"/>
        <i x="62" s="1"/>
        <i x="20" s="1"/>
        <i x="289" s="1"/>
        <i x="357" s="1"/>
        <i x="71" s="1"/>
        <i x="167" s="1"/>
        <i x="322" s="1"/>
        <i x="5" s="1"/>
        <i x="139" s="1"/>
        <i x="33" s="1"/>
        <i x="38" s="1"/>
        <i x="184" s="1"/>
        <i x="428" s="1"/>
        <i x="4" s="1"/>
        <i x="136" s="1"/>
        <i x="351" s="1"/>
        <i x="50" s="1"/>
        <i x="176" s="1"/>
        <i x="160" s="1"/>
        <i x="156" s="1"/>
        <i x="118" s="1"/>
        <i x="70" s="1"/>
        <i x="101" s="1"/>
        <i x="8" s="1"/>
        <i x="92" s="1"/>
        <i x="153" s="1"/>
        <i x="124" s="1"/>
        <i x="243" s="1"/>
        <i x="18" s="1"/>
        <i x="1" s="1"/>
        <i x="25" s="1"/>
        <i x="43" s="1"/>
        <i x="82" s="1"/>
        <i x="34" s="1"/>
        <i x="135" s="1"/>
        <i x="298" s="1"/>
        <i x="132" s="1"/>
        <i x="52" s="1"/>
        <i x="32" s="1"/>
        <i x="0" s="1"/>
        <i x="150" s="1"/>
        <i x="7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_Q2" xr10:uid="{FDE54520-4523-416C-B9AF-B4C2FFF0B465}" sourceName="Sales (Q2)">
  <pivotTables>
    <pivotTable tabId="8" name="PivotTable32"/>
  </pivotTables>
  <data>
    <tabular pivotCacheId="640894638">
      <items count="499">
        <i x="486" s="1"/>
        <i x="435" s="1"/>
        <i x="458" s="1"/>
        <i x="474" s="1"/>
        <i x="483" s="1"/>
        <i x="366" s="1"/>
        <i x="442" s="1"/>
        <i x="449" s="1"/>
        <i x="405" s="1"/>
        <i x="356" s="1"/>
        <i x="452" s="1"/>
        <i x="400" s="1"/>
        <i x="77" s="1"/>
        <i x="247" s="1"/>
        <i x="276" s="1"/>
        <i x="482" s="1"/>
        <i x="476" s="1"/>
        <i x="231" s="1"/>
        <i x="437" s="1"/>
        <i x="492" s="1"/>
        <i x="351" s="1"/>
        <i x="195" s="1"/>
        <i x="94" s="1"/>
        <i x="135" s="1"/>
        <i x="385" s="1"/>
        <i x="441" s="1"/>
        <i x="432" s="1"/>
        <i x="147" s="1"/>
        <i x="484" s="1"/>
        <i x="364" s="1"/>
        <i x="90" s="1"/>
        <i x="304" s="1"/>
        <i x="156" s="1"/>
        <i x="226" s="1"/>
        <i x="321" s="1"/>
        <i x="498" s="1"/>
        <i x="373" s="1"/>
        <i x="362" s="1"/>
        <i x="374" s="1"/>
        <i x="410" s="1"/>
        <i x="487" s="1"/>
        <i x="306" s="1"/>
        <i x="130" s="1"/>
        <i x="478" s="1"/>
        <i x="73" s="1"/>
        <i x="433" s="1"/>
        <i x="490" s="1"/>
        <i x="424" s="1"/>
        <i x="153" s="1"/>
        <i x="33" s="1"/>
        <i x="462" s="1"/>
        <i x="361" s="1"/>
        <i x="98" s="1"/>
        <i x="169" s="1"/>
        <i x="308" s="1"/>
        <i x="412" s="1"/>
        <i x="496" s="1"/>
        <i x="194" s="1"/>
        <i x="426" s="1"/>
        <i x="115" s="1"/>
        <i x="461" s="1"/>
        <i x="480" s="1"/>
        <i x="241" s="1"/>
        <i x="246" s="1"/>
        <i x="138" s="1"/>
        <i x="495" s="1"/>
        <i x="160" s="1"/>
        <i x="206" s="1"/>
        <i x="294" s="1"/>
        <i x="248" s="1"/>
        <i x="407" s="1"/>
        <i x="443" s="1"/>
        <i x="267" s="1"/>
        <i x="440" s="1"/>
        <i x="235" s="1"/>
        <i x="305" s="1"/>
        <i x="288" s="1"/>
        <i x="336" s="1"/>
        <i x="333" s="1"/>
        <i x="126" s="1"/>
        <i x="326" s="1"/>
        <i x="118" s="1"/>
        <i x="334" s="1"/>
        <i x="271" s="1"/>
        <i x="142" s="1"/>
        <i x="242" s="1"/>
        <i x="197" s="1"/>
        <i x="201" s="1"/>
        <i x="358" s="1"/>
        <i x="165" s="1"/>
        <i x="110" s="1"/>
        <i x="438" s="1"/>
        <i x="470" s="1"/>
        <i x="409" s="1"/>
        <i x="262" s="1"/>
        <i x="477" s="1"/>
        <i x="204" s="1"/>
        <i x="239" s="1"/>
        <i x="299" s="1"/>
        <i x="280" s="1"/>
        <i x="494" s="1"/>
        <i x="493" s="1"/>
        <i x="296" s="1"/>
        <i x="310" s="1"/>
        <i x="436" s="1"/>
        <i x="286" s="1"/>
        <i x="211" s="1"/>
        <i x="371" s="1"/>
        <i x="278" s="1"/>
        <i x="249" s="1"/>
        <i x="345" s="1"/>
        <i x="394" s="1"/>
        <i x="318" s="1"/>
        <i x="419" s="1"/>
        <i x="316" s="1"/>
        <i x="244" s="1"/>
        <i x="376" s="1"/>
        <i x="324" s="1"/>
        <i x="415" s="1"/>
        <i x="196" s="1"/>
        <i x="352" s="1"/>
        <i x="399" s="1"/>
        <i x="338" s="1"/>
        <i x="448" s="1"/>
        <i x="418" s="1"/>
        <i x="193" s="1"/>
        <i x="457" s="1"/>
        <i x="370" s="1"/>
        <i x="425" s="1"/>
        <i x="379" s="1"/>
        <i x="191" s="1"/>
        <i x="386" s="1"/>
        <i x="81" s="1"/>
        <i x="105" s="1"/>
        <i x="331" s="1"/>
        <i x="302" s="1"/>
        <i x="463" s="1"/>
        <i x="322" s="1"/>
        <i x="123" s="1"/>
        <i x="124" s="1"/>
        <i x="497" s="1"/>
        <i x="413" s="1"/>
        <i x="313" s="1"/>
        <i x="489" s="1"/>
        <i x="132" s="1"/>
        <i x="475" s="1"/>
        <i x="422" s="1"/>
        <i x="228" s="1"/>
        <i x="456" s="1"/>
        <i x="282" s="1"/>
        <i x="355" s="1"/>
        <i x="389" s="1"/>
        <i x="365" s="1"/>
        <i x="465" s="1"/>
        <i x="100" s="1"/>
        <i x="166" s="1"/>
        <i x="464" s="1"/>
        <i x="83" s="1"/>
        <i x="420" s="1"/>
        <i x="459" s="1"/>
        <i x="439" s="1"/>
        <i x="367" s="1"/>
        <i x="468" s="1"/>
        <i x="210" s="1"/>
        <i x="125" s="1"/>
        <i x="434" s="1"/>
        <i x="152" s="1"/>
        <i x="382" s="1"/>
        <i x="250" s="1"/>
        <i x="217" s="1"/>
        <i x="427" s="1"/>
        <i x="325" s="1"/>
        <i x="40" s="1"/>
        <i x="139" s="1"/>
        <i x="491" s="1"/>
        <i x="350" s="1"/>
        <i x="104" s="1"/>
        <i x="357" s="1"/>
        <i x="408" s="1"/>
        <i x="472" s="1"/>
        <i x="488" s="1"/>
        <i x="174" s="1"/>
        <i x="230" s="1"/>
        <i x="178" s="1"/>
        <i x="284" s="1"/>
        <i x="295" s="1"/>
        <i x="393" s="1"/>
        <i x="158" s="1"/>
        <i x="416" s="1"/>
        <i x="348" s="1"/>
        <i x="301" s="1"/>
        <i x="446" s="1"/>
        <i x="479" s="1"/>
        <i x="38" s="1"/>
        <i x="298" s="1"/>
        <i x="485" s="1"/>
        <i x="402" s="1"/>
        <i x="339" s="1"/>
        <i x="173" s="1"/>
        <i x="61" s="1"/>
        <i x="198" s="1"/>
        <i x="182" s="1"/>
        <i x="260" s="1"/>
        <i x="82" s="1"/>
        <i x="429" s="1"/>
        <i x="384" s="1"/>
        <i x="8" s="1"/>
        <i x="401" s="1"/>
        <i x="253" s="1"/>
        <i x="467" s="1"/>
        <i x="131" s="1"/>
        <i x="303" s="1"/>
        <i x="259" s="1"/>
        <i x="36" s="1"/>
        <i x="342" s="1"/>
        <i x="445" s="1"/>
        <i x="172" s="1"/>
        <i x="390" s="1"/>
        <i x="85" s="1"/>
        <i x="212" s="1"/>
        <i x="380" s="1"/>
        <i x="117" s="1"/>
        <i x="21" s="1"/>
        <i x="454" s="1"/>
        <i x="266" s="1"/>
        <i x="309" s="1"/>
        <i x="225" s="1"/>
        <i x="67" s="1"/>
        <i x="144" s="1"/>
        <i x="192" s="1"/>
        <i x="392" s="1"/>
        <i x="346" s="1"/>
        <i x="52" s="1"/>
        <i x="53" s="1"/>
        <i x="411" s="1"/>
        <i x="383" s="1"/>
        <i x="224" s="1"/>
        <i x="133" s="1"/>
        <i x="481" s="1"/>
        <i x="312" s="1"/>
        <i x="307" s="1"/>
        <i x="430" s="1"/>
        <i x="25" s="1"/>
        <i x="353" s="1"/>
        <i x="89" s="1"/>
        <i x="229" s="1"/>
        <i x="265" s="1"/>
        <i x="319" s="1"/>
        <i x="101" s="1"/>
        <i x="285" s="1"/>
        <i x="421" s="1"/>
        <i x="329" s="1"/>
        <i x="391" s="1"/>
        <i x="347" s="1"/>
        <i x="471" s="1"/>
        <i x="216" s="1"/>
        <i x="363" s="1"/>
        <i x="167" s="1"/>
        <i x="290" s="1"/>
        <i x="404" s="1"/>
        <i x="360" s="1"/>
        <i x="183" s="1"/>
        <i x="200" s="1"/>
        <i x="91" s="1"/>
        <i x="218" s="1"/>
        <i x="289" s="1"/>
        <i x="268" s="1"/>
        <i x="417" s="1"/>
        <i x="109" s="1"/>
        <i x="323" s="1"/>
        <i x="341" s="1"/>
        <i x="258" s="1"/>
        <i x="24" s="1"/>
        <i x="340" s="1"/>
        <i x="450" s="1"/>
        <i x="275" s="1"/>
        <i x="227" s="1"/>
        <i x="96" s="1"/>
        <i x="51" s="1"/>
        <i x="396" s="1"/>
        <i x="18" s="1"/>
        <i x="397" s="1"/>
        <i x="349" s="1"/>
        <i x="215" s="1"/>
        <i x="451" s="1"/>
        <i x="378" s="1"/>
        <i x="274" s="1"/>
        <i x="186" s="1"/>
        <i x="189" s="1"/>
        <i x="320" s="1"/>
        <i x="270" s="1"/>
        <i x="223" s="1"/>
        <i x="88" s="1"/>
        <i x="97" s="1"/>
        <i x="15" s="1"/>
        <i x="119" s="1"/>
        <i x="203" s="1"/>
        <i x="220" s="1"/>
        <i x="205" s="1"/>
        <i x="387" s="1"/>
        <i x="55" s="1"/>
        <i x="134" s="1"/>
        <i x="151" s="1"/>
        <i x="372" s="1"/>
        <i x="245" s="1"/>
        <i x="221" s="1"/>
        <i x="63" s="1"/>
        <i x="330" s="1"/>
        <i x="219" s="1"/>
        <i x="359" s="1"/>
        <i x="455" s="1"/>
        <i x="112" s="1"/>
        <i x="279" s="1"/>
        <i x="79" s="1"/>
        <i x="287" s="1"/>
        <i x="163" s="1"/>
        <i x="243" s="1"/>
        <i x="300" s="1"/>
        <i x="56" s="1"/>
        <i x="175" s="1"/>
        <i x="315" s="1"/>
        <i x="273" s="1"/>
        <i x="140" s="1"/>
        <i x="41" s="1"/>
        <i x="375" s="1"/>
        <i x="381" s="1"/>
        <i x="190" s="1"/>
        <i x="113" s="1"/>
        <i x="103" s="1"/>
        <i x="269" s="1"/>
        <i x="466" s="1"/>
        <i x="149" s="1"/>
        <i x="60" s="1"/>
        <i x="157" s="1"/>
        <i x="238" s="1"/>
        <i x="102" s="1"/>
        <i x="76" s="1"/>
        <i x="54" s="1"/>
        <i x="42" s="1"/>
        <i x="20" s="1"/>
        <i x="344" s="1"/>
        <i x="84" s="1"/>
        <i x="75" s="1"/>
        <i x="146" s="1"/>
        <i x="460" s="1"/>
        <i x="159" s="1"/>
        <i x="277" s="1"/>
        <i x="272" s="1"/>
        <i x="168" s="1"/>
        <i x="232" s="1"/>
        <i x="65" s="1"/>
        <i x="377" s="1"/>
        <i x="5" s="1"/>
        <i x="447" s="1"/>
        <i x="222" s="1"/>
        <i x="136" s="1"/>
        <i x="7" s="1"/>
        <i x="141" s="1"/>
        <i x="50" s="1"/>
        <i x="444" s="1"/>
        <i x="171" s="1"/>
        <i x="27" s="1"/>
        <i x="14" s="1"/>
        <i x="317" s="1"/>
        <i x="314" s="1"/>
        <i x="214" s="1"/>
        <i x="148" s="1"/>
        <i x="68" s="1"/>
        <i x="120" s="1"/>
        <i x="257" s="1"/>
        <i x="255" s="1"/>
        <i x="254" s="1"/>
        <i x="161" s="1"/>
        <i x="388" s="1"/>
        <i x="4" s="1"/>
        <i x="31" s="1"/>
        <i x="59" s="1"/>
        <i x="87" s="1"/>
        <i x="236" s="1"/>
        <i x="23" s="1"/>
        <i x="263" s="1"/>
        <i x="114" s="1"/>
        <i x="72" s="1"/>
        <i x="343" s="1"/>
        <i x="403" s="1"/>
        <i x="208" s="1"/>
        <i x="78" s="1"/>
        <i x="423" s="1"/>
        <i x="180" s="1"/>
        <i x="0" s="1"/>
        <i x="293" s="1"/>
        <i x="176" s="1"/>
        <i x="395" s="1"/>
        <i x="86" s="1"/>
        <i x="164" s="1"/>
        <i x="291" s="1"/>
        <i x="128" s="1"/>
        <i x="398" s="1"/>
        <i x="327" s="1"/>
        <i x="121" s="1"/>
        <i x="58" s="1"/>
        <i x="48" s="1"/>
        <i x="74" s="1"/>
        <i x="11" s="1"/>
        <i x="155" s="1"/>
        <i x="332" s="1"/>
        <i x="251" s="1"/>
        <i x="116" s="1"/>
        <i x="368" s="1"/>
        <i x="12" s="1"/>
        <i x="199" s="1"/>
        <i x="170" s="1"/>
        <i x="209" s="1"/>
        <i x="108" s="1"/>
        <i x="6" s="1"/>
        <i x="297" s="1"/>
        <i x="150" s="1"/>
        <i x="70" s="1"/>
        <i x="95" s="1"/>
        <i x="46" s="1"/>
        <i x="234" s="1"/>
        <i x="28" s="1"/>
        <i x="181" s="1"/>
        <i x="414" s="1"/>
        <i x="185" s="1"/>
        <i x="202" s="1"/>
        <i x="187" s="1"/>
        <i x="69" s="1"/>
        <i x="29" s="1"/>
        <i x="179" s="1"/>
        <i x="106" s="1"/>
        <i x="335" s="1"/>
        <i x="369" s="1"/>
        <i x="354" s="1"/>
        <i x="9" s="1"/>
        <i x="311" s="1"/>
        <i x="47" s="1"/>
        <i x="43" s="1"/>
        <i x="10" s="1"/>
        <i x="328" s="1"/>
        <i x="473" s="1"/>
        <i x="71" s="1"/>
        <i x="261" s="1"/>
        <i x="2" s="1"/>
        <i x="111" s="1"/>
        <i x="237" s="1"/>
        <i x="44" s="1"/>
        <i x="26" s="1"/>
        <i x="283" s="1"/>
        <i x="62" s="1"/>
        <i x="35" s="1"/>
        <i x="252" s="1"/>
        <i x="19" s="1"/>
        <i x="213" s="1"/>
        <i x="127" s="1"/>
        <i x="66" s="1"/>
        <i x="45" s="1"/>
        <i x="17" s="1"/>
        <i x="37" s="1"/>
        <i x="292" s="1"/>
        <i x="469" s="1"/>
        <i x="233" s="1"/>
        <i x="13" s="1"/>
        <i x="143" s="1"/>
        <i x="207" s="1"/>
        <i x="80" s="1"/>
        <i x="264" s="1"/>
        <i x="428" s="1"/>
        <i x="453" s="1"/>
        <i x="93" s="1"/>
        <i x="184" s="1"/>
        <i x="137" s="1"/>
        <i x="154" s="1"/>
        <i x="99" s="1"/>
        <i x="32" s="1"/>
        <i x="122" s="1"/>
        <i x="39" s="1"/>
        <i x="240" s="1"/>
        <i x="145" s="1"/>
        <i x="34" s="1"/>
        <i x="256" s="1"/>
        <i x="188" s="1"/>
        <i x="281" s="1"/>
        <i x="16" s="1"/>
        <i x="1" s="1"/>
        <i x="64" s="1"/>
        <i x="162" s="1"/>
        <i x="406" s="1"/>
        <i x="3" s="1"/>
        <i x="30" s="1"/>
        <i x="49" s="1"/>
        <i x="431" s="1"/>
        <i x="129" s="1"/>
        <i x="177" s="1"/>
        <i x="337" s="1"/>
        <i x="22" s="1"/>
        <i x="57" s="1"/>
        <i x="107" s="1"/>
        <i x="9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_Q3" xr10:uid="{510DDA89-6429-47A9-841B-A30306586553}" sourceName="Sales (Q3)">
  <pivotTables>
    <pivotTable tabId="8" name="PivotTable32"/>
  </pivotTables>
  <data>
    <tabular pivotCacheId="640894638">
      <items count="496">
        <i x="427" s="1"/>
        <i x="388" s="1"/>
        <i x="325" s="1"/>
        <i x="484" s="1"/>
        <i x="255" s="1"/>
        <i x="182" s="1"/>
        <i x="227" s="1"/>
        <i x="480" s="1"/>
        <i x="171" s="1"/>
        <i x="443" s="1"/>
        <i x="278" s="1"/>
        <i x="145" s="1"/>
        <i x="247" s="1"/>
        <i x="450" s="1"/>
        <i x="284" s="1"/>
        <i x="491" s="1"/>
        <i x="418" s="1"/>
        <i x="386" s="1"/>
        <i x="452" s="1"/>
        <i x="387" s="1"/>
        <i x="495" s="1"/>
        <i x="185" s="1"/>
        <i x="372" s="1"/>
        <i x="242" s="1"/>
        <i x="473" s="1"/>
        <i x="116" s="1"/>
        <i x="470" s="1"/>
        <i x="455" s="1"/>
        <i x="475" s="1"/>
        <i x="273" s="1"/>
        <i x="32" s="1"/>
        <i x="481" s="1"/>
        <i x="196" s="1"/>
        <i x="61" s="1"/>
        <i x="424" s="1"/>
        <i x="395" s="1"/>
        <i x="379" s="1"/>
        <i x="403" s="1"/>
        <i x="459" s="1"/>
        <i x="466" s="1"/>
        <i x="121" s="1"/>
        <i x="431" s="1"/>
        <i x="369" s="1"/>
        <i x="219" s="1"/>
        <i x="492" s="1"/>
        <i x="204" s="1"/>
        <i x="469" s="1"/>
        <i x="464" s="1"/>
        <i x="401" s="1"/>
        <i x="413" s="1"/>
        <i x="355" s="1"/>
        <i x="383" s="1"/>
        <i x="207" s="1"/>
        <i x="493" s="1"/>
        <i x="266" s="1"/>
        <i x="265" s="1"/>
        <i x="92" s="1"/>
        <i x="336" s="1"/>
        <i x="425" s="1"/>
        <i x="99" s="1"/>
        <i x="451" s="1"/>
        <i x="290" s="1"/>
        <i x="461" s="1"/>
        <i x="318" s="1"/>
        <i x="174" s="1"/>
        <i x="349" s="1"/>
        <i x="340" s="1"/>
        <i x="486" s="1"/>
        <i x="366" s="1"/>
        <i x="468" s="1"/>
        <i x="392" s="1"/>
        <i x="346" s="1"/>
        <i x="279" s="1"/>
        <i x="226" s="1"/>
        <i x="128" s="1"/>
        <i x="463" s="1"/>
        <i x="280" s="1"/>
        <i x="271" s="1"/>
        <i x="460" s="1"/>
        <i x="320" s="1"/>
        <i x="483" s="1"/>
        <i x="351" s="1"/>
        <i x="448" s="1"/>
        <i x="260" s="1"/>
        <i x="465" s="1"/>
        <i x="371" s="1"/>
        <i x="319" s="1"/>
        <i x="411" s="1"/>
        <i x="224" s="1"/>
        <i x="205" s="1"/>
        <i x="375" s="1"/>
        <i x="304" s="1"/>
        <i x="197" s="1"/>
        <i x="175" s="1"/>
        <i x="177" s="1"/>
        <i x="373" s="1"/>
        <i x="250" s="1"/>
        <i x="277" s="1"/>
        <i x="441" s="1"/>
        <i x="302" s="1"/>
        <i x="380" s="1"/>
        <i x="364" s="1"/>
        <i x="476" s="1"/>
        <i x="288" s="1"/>
        <i x="341" s="1"/>
        <i x="456" s="1"/>
        <i x="420" s="1"/>
        <i x="264" s="1"/>
        <i x="485" s="1"/>
        <i x="391" s="1"/>
        <i x="422" s="1"/>
        <i x="200" s="1"/>
        <i x="405" s="1"/>
        <i x="314" s="1"/>
        <i x="249" s="1"/>
        <i x="494" s="1"/>
        <i x="78" s="1"/>
        <i x="345" s="1"/>
        <i x="439" s="1"/>
        <i x="490" s="1"/>
        <i x="457" s="1"/>
        <i x="472" s="1"/>
        <i x="482" s="1"/>
        <i x="362" s="1"/>
        <i x="58" s="1"/>
        <i x="426" s="1"/>
        <i x="308" s="1"/>
        <i x="342" s="1"/>
        <i x="223" s="1"/>
        <i x="159" s="1"/>
        <i x="328" s="1"/>
        <i x="144" s="1"/>
        <i x="272" s="1"/>
        <i x="467" s="1"/>
        <i x="117" s="1"/>
        <i x="428" s="1"/>
        <i x="294" s="1"/>
        <i x="122" s="1"/>
        <i x="258" s="1"/>
        <i x="56" s="1"/>
        <i x="488" s="1"/>
        <i x="307" s="1"/>
        <i x="34" s="1"/>
        <i x="214" s="1"/>
        <i x="445" s="1"/>
        <i x="257" s="1"/>
        <i x="107" s="1"/>
        <i x="478" s="1"/>
        <i x="183" s="1"/>
        <i x="190" s="1"/>
        <i x="296" s="1"/>
        <i x="377" s="1"/>
        <i x="237" s="1"/>
        <i x="343" s="1"/>
        <i x="47" s="1"/>
        <i x="287" s="1"/>
        <i x="125" s="1"/>
        <i x="447" s="1"/>
        <i x="438" s="1"/>
        <i x="52" s="1"/>
        <i x="321" s="1"/>
        <i x="370" s="1"/>
        <i x="410" s="1"/>
        <i x="49" s="1"/>
        <i x="167" s="1"/>
        <i x="274" s="1"/>
        <i x="311" s="1"/>
        <i x="158" s="1"/>
        <i x="412" s="1"/>
        <i x="213" s="1"/>
        <i x="444" s="1"/>
        <i x="435" s="1"/>
        <i x="112" s="1"/>
        <i x="479" s="1"/>
        <i x="406" s="1"/>
        <i x="254" s="1"/>
        <i x="232" s="1"/>
        <i x="215" s="1"/>
        <i x="454" s="1"/>
        <i x="59" s="1"/>
        <i x="136" s="1"/>
        <i x="162" s="1"/>
        <i x="178" s="1"/>
        <i x="423" s="1"/>
        <i x="263" s="1"/>
        <i x="449" s="1"/>
        <i x="347" s="1"/>
        <i x="487" s="1"/>
        <i x="106" s="1"/>
        <i x="429" s="1"/>
        <i x="365" s="1"/>
        <i x="282" s="1"/>
        <i x="143" s="1"/>
        <i x="393" s="1"/>
        <i x="292" s="1"/>
        <i x="75" s="1"/>
        <i x="222" s="1"/>
        <i x="124" s="1"/>
        <i x="229" s="1"/>
        <i x="149" s="1"/>
        <i x="286" s="1"/>
        <i x="180" s="1"/>
        <i x="170" s="1"/>
        <i x="309" s="1"/>
        <i x="221" s="1"/>
        <i x="236" s="1"/>
        <i x="477" s="1"/>
        <i x="433" s="1"/>
        <i x="385" s="1"/>
        <i x="206" s="1"/>
        <i x="442" s="1"/>
        <i x="139" s="1"/>
        <i x="408" s="1"/>
        <i x="489" s="1"/>
        <i x="95" s="1"/>
        <i x="381" s="1"/>
        <i x="301" s="1"/>
        <i x="187" s="1"/>
        <i x="71" s="1"/>
        <i x="397" s="1"/>
        <i x="471" s="1"/>
        <i x="142" s="1"/>
        <i x="334" s="1"/>
        <i x="407" s="1"/>
        <i x="409" s="1"/>
        <i x="137" s="1"/>
        <i x="241" s="1"/>
        <i x="437" s="1"/>
        <i x="209" s="1"/>
        <i x="51" s="1"/>
        <i x="26" s="1"/>
        <i x="233" s="1"/>
        <i x="384" s="1"/>
        <i x="354" s="1"/>
        <i x="415" s="1"/>
        <i x="230" s="1"/>
        <i x="169" s="1"/>
        <i x="189" s="1"/>
        <i x="275" s="1"/>
        <i x="344" s="1"/>
        <i x="419" s="1"/>
        <i x="332" s="1"/>
        <i x="231" s="1"/>
        <i x="394" s="1"/>
        <i x="281" s="1"/>
        <i x="306" s="1"/>
        <i x="326" s="1"/>
        <i x="166" s="1"/>
        <i x="293" s="1"/>
        <i x="173" s="1"/>
        <i x="105" s="1"/>
        <i x="179" s="1"/>
        <i x="120" s="1"/>
        <i x="453" s="1"/>
        <i x="101" s="1"/>
        <i x="176" s="1"/>
        <i x="127" s="1"/>
        <i x="181" s="1"/>
        <i x="72" s="1"/>
        <i x="348" s="1"/>
        <i x="376" s="1"/>
        <i x="62" s="1"/>
        <i x="109" s="1"/>
        <i x="390" s="1"/>
        <i x="300" s="1"/>
        <i x="404" s="1"/>
        <i x="157" s="1"/>
        <i x="261" s="1"/>
        <i x="119" s="1"/>
        <i x="270" s="1"/>
        <i x="218" s="1"/>
        <i x="474" s="1"/>
        <i x="360" s="1"/>
        <i x="76" s="1"/>
        <i x="246" s="1"/>
        <i x="367" s="1"/>
        <i x="93" s="1"/>
        <i x="382" s="1"/>
        <i x="216" s="1"/>
        <i x="396" s="1"/>
        <i x="114" s="1"/>
        <i x="333" s="1"/>
        <i x="430" s="1"/>
        <i x="23" s="1"/>
        <i x="324" s="1"/>
        <i x="220" s="1"/>
        <i x="400" s="1"/>
        <i x="251" s="1"/>
        <i x="356" s="1"/>
        <i x="368" s="1"/>
        <i x="337" s="1"/>
        <i x="269" s="1"/>
        <i x="353" s="1"/>
        <i x="29" s="1"/>
        <i x="262" s="1"/>
        <i x="352" s="1"/>
        <i x="100" s="1"/>
        <i x="3" s="1"/>
        <i x="156" s="1"/>
        <i x="253" s="1"/>
        <i x="83" s="1"/>
        <i x="417" s="1"/>
        <i x="256" s="1"/>
        <i x="113" s="1"/>
        <i x="285" s="1"/>
        <i x="297" s="1"/>
        <i x="322" s="1"/>
        <i x="267" s="1"/>
        <i x="313" s="1"/>
        <i x="338" s="1"/>
        <i x="17" s="1"/>
        <i x="358" s="1"/>
        <i x="184" s="1"/>
        <i x="12" s="1"/>
        <i x="217" s="1"/>
        <i x="228" s="1"/>
        <i x="276" s="1"/>
        <i x="74" s="1"/>
        <i x="11" s="1"/>
        <i x="361" s="1"/>
        <i x="129" s="1"/>
        <i x="303" s="1"/>
        <i x="283" s="1"/>
        <i x="168" s="1"/>
        <i x="46" s="1"/>
        <i x="150" s="1"/>
        <i x="111" s="1"/>
        <i x="440" s="1"/>
        <i x="203" s="1"/>
        <i x="172" s="1"/>
        <i x="335" s="1"/>
        <i x="70" s="1"/>
        <i x="19" s="1"/>
        <i x="66" s="1"/>
        <i x="18" s="1"/>
        <i x="27" s="1"/>
        <i x="188" s="1"/>
        <i x="140" s="1"/>
        <i x="148" s="1"/>
        <i x="165" s="1"/>
        <i x="108" s="1"/>
        <i x="245" s="1"/>
        <i x="40" s="1"/>
        <i x="374" s="1"/>
        <i x="96" s="1"/>
        <i x="357" s="1"/>
        <i x="110" s="1"/>
        <i x="259" s="1"/>
        <i x="65" s="1"/>
        <i x="317" s="1"/>
        <i x="147" s="1"/>
        <i x="378" s="1"/>
        <i x="5" s="1"/>
        <i x="329" s="1"/>
        <i x="160" s="1"/>
        <i x="268" s="1"/>
        <i x="248" s="1"/>
        <i x="81" s="1"/>
        <i x="63" s="1"/>
        <i x="414" s="1"/>
        <i x="102" s="1"/>
        <i x="146" s="1"/>
        <i x="118" s="1"/>
        <i x="398" s="1"/>
        <i x="211" s="1"/>
        <i x="134" s="1"/>
        <i x="13" s="1"/>
        <i x="436" s="1"/>
        <i x="446" s="1"/>
        <i x="389" s="1"/>
        <i x="295" s="1"/>
        <i x="289" s="1"/>
        <i x="210" s="1"/>
        <i x="252" s="1"/>
        <i x="41" s="1"/>
        <i x="115" s="1"/>
        <i x="133" s="1"/>
        <i x="339" s="1"/>
        <i x="21" s="1"/>
        <i x="155" s="1"/>
        <i x="15" s="1"/>
        <i x="243" s="1"/>
        <i x="240" s="1"/>
        <i x="2" s="1"/>
        <i x="202" s="1"/>
        <i x="432" s="1"/>
        <i x="1" s="1"/>
        <i x="123" s="1"/>
        <i x="327" s="1"/>
        <i x="37" s="1"/>
        <i x="305" s="1"/>
        <i x="163" s="1"/>
        <i x="310" s="1"/>
        <i x="462" s="1"/>
        <i x="235" s="1"/>
        <i x="195" s="1"/>
        <i x="141" s="1"/>
        <i x="212" s="1"/>
        <i x="350" s="1"/>
        <i x="131" s="1"/>
        <i x="22" s="1"/>
        <i x="312" s="1"/>
        <i x="68" s="1"/>
        <i x="330" s="1"/>
        <i x="54" s="1"/>
        <i x="152" s="1"/>
        <i x="44" s="1"/>
        <i x="45" s="1"/>
        <i x="104" s="1"/>
        <i x="186" s="1"/>
        <i x="239" s="1"/>
        <i x="48" s="1"/>
        <i x="79" s="1"/>
        <i x="198" s="1"/>
        <i x="323" s="1"/>
        <i x="244" s="1"/>
        <i x="291" s="1"/>
        <i x="24" s="1"/>
        <i x="87" s="1"/>
        <i x="153" s="1"/>
        <i x="91" s="1"/>
        <i x="82" s="1"/>
        <i x="97" s="1"/>
        <i x="359" s="1"/>
        <i x="399" s="1"/>
        <i x="10" s="1"/>
        <i x="89" s="1"/>
        <i x="194" s="1"/>
        <i x="67" s="1"/>
        <i x="38" s="1"/>
        <i x="4" s="1"/>
        <i x="201" s="1"/>
        <i x="80" s="1"/>
        <i x="88" s="1"/>
        <i x="53" s="1"/>
        <i x="234" s="1"/>
        <i x="16" s="1"/>
        <i x="42" s="1"/>
        <i x="69" s="1"/>
        <i x="6" s="1"/>
        <i x="20" s="1"/>
        <i x="36" s="1"/>
        <i x="416" s="1"/>
        <i x="316" s="1"/>
        <i x="331" s="1"/>
        <i x="31" s="1"/>
        <i x="458" s="1"/>
        <i x="9" s="1"/>
        <i x="126" s="1"/>
        <i x="161" s="1"/>
        <i x="57" s="1"/>
        <i x="132" s="1"/>
        <i x="86" s="1"/>
        <i x="192" s="1"/>
        <i x="130" s="1"/>
        <i x="434" s="1"/>
        <i x="85" s="1"/>
        <i x="199" s="1"/>
        <i x="14" s="1"/>
        <i x="363" s="1"/>
        <i x="298" s="1"/>
        <i x="154" s="1"/>
        <i x="25" s="1"/>
        <i x="315" s="1"/>
        <i x="135" s="1"/>
        <i x="43" s="1"/>
        <i x="402" s="1"/>
        <i x="299" s="1"/>
        <i x="50" s="1"/>
        <i x="225" s="1"/>
        <i x="103" s="1"/>
        <i x="30" s="1"/>
        <i x="60" s="1"/>
        <i x="138" s="1"/>
        <i x="421" s="1"/>
        <i x="238" s="1"/>
        <i x="90" s="1"/>
        <i x="151" s="1"/>
        <i x="64" s="1"/>
        <i x="8" s="1"/>
        <i x="164" s="1"/>
        <i x="94" s="1"/>
        <i x="7" s="1"/>
        <i x="33" s="1"/>
        <i x="193" s="1"/>
        <i x="35" s="1"/>
        <i x="191" s="1"/>
        <i x="55" s="1"/>
        <i x="208" s="1"/>
        <i x="39" s="1"/>
        <i x="73" s="1"/>
        <i x="98" s="1"/>
        <i x="84" s="1"/>
        <i x="28" s="1"/>
        <i x="0" s="1"/>
        <i x="7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_Q4" xr10:uid="{E8B4F52F-A0DD-4C8E-A636-BC5B470D46B5}" sourceName="Sales (Q4)">
  <pivotTables>
    <pivotTable tabId="8" name="PivotTable32"/>
  </pivotTables>
  <data>
    <tabular pivotCacheId="640894638">
      <items count="499">
        <i x="376" s="1"/>
        <i x="449" s="1"/>
        <i x="297" s="1"/>
        <i x="447" s="1"/>
        <i x="319" s="1"/>
        <i x="432" s="1"/>
        <i x="436" s="1"/>
        <i x="210" s="1"/>
        <i x="205" s="1"/>
        <i x="490" s="1"/>
        <i x="213" s="1"/>
        <i x="167" s="1"/>
        <i x="377" s="1"/>
        <i x="493" s="1"/>
        <i x="335" s="1"/>
        <i x="181" s="1"/>
        <i x="477" s="1"/>
        <i x="497" s="1"/>
        <i x="43" s="1"/>
        <i x="485" s="1"/>
        <i x="430" s="1"/>
        <i x="150" s="1"/>
        <i x="423" s="1"/>
        <i x="290" s="1"/>
        <i x="419" s="1"/>
        <i x="77" s="1"/>
        <i x="143" s="1"/>
        <i x="460" s="1"/>
        <i x="439" s="1"/>
        <i x="379" s="1"/>
        <i x="193" s="1"/>
        <i x="323" s="1"/>
        <i x="473" s="1"/>
        <i x="354" s="1"/>
        <i x="416" s="1"/>
        <i x="279" s="1"/>
        <i x="406" s="1"/>
        <i x="315" s="1"/>
        <i x="320" s="1"/>
        <i x="270" s="1"/>
        <i x="311" s="1"/>
        <i x="316" s="1"/>
        <i x="272" s="1"/>
        <i x="475" s="1"/>
        <i x="80" s="1"/>
        <i x="413" s="1"/>
        <i x="256" s="1"/>
        <i x="465" s="1"/>
        <i x="347" s="1"/>
        <i x="466" s="1"/>
        <i x="431" s="1"/>
        <i x="340" s="1"/>
        <i x="486" s="1"/>
        <i x="137" s="1"/>
        <i x="401" s="1"/>
        <i x="427" s="1"/>
        <i x="168" s="1"/>
        <i x="221" s="1"/>
        <i x="293" s="1"/>
        <i x="188" s="1"/>
        <i x="469" s="1"/>
        <i x="361" s="1"/>
        <i x="390" s="1"/>
        <i x="392" s="1"/>
        <i x="496" s="1"/>
        <i x="263" s="1"/>
        <i x="141" s="1"/>
        <i x="491" s="1"/>
        <i x="177" s="1"/>
        <i x="391" s="1"/>
        <i x="365" s="1"/>
        <i x="371" s="1"/>
        <i x="255" s="1"/>
        <i x="410" s="1"/>
        <i x="332" s="1"/>
        <i x="453" s="1"/>
        <i x="433" s="1"/>
        <i x="414" s="1"/>
        <i x="402" s="1"/>
        <i x="70" s="1"/>
        <i x="461" s="1"/>
        <i x="254" s="1"/>
        <i x="219" s="1"/>
        <i x="396" s="1"/>
        <i x="292" s="1"/>
        <i x="237" s="1"/>
        <i x="330" s="1"/>
        <i x="132" s="1"/>
        <i x="492" s="1"/>
        <i x="134" s="1"/>
        <i x="50" s="1"/>
        <i x="459" s="1"/>
        <i x="257" s="1"/>
        <i x="387" s="1"/>
        <i x="314" s="1"/>
        <i x="380" s="1"/>
        <i x="450" s="1"/>
        <i x="482" s="1"/>
        <i x="495" s="1"/>
        <i x="359" s="1"/>
        <i x="363" s="1"/>
        <i x="163" s="1"/>
        <i x="346" s="1"/>
        <i x="252" s="1"/>
        <i x="386" s="1"/>
        <i x="488" s="1"/>
        <i x="422" s="1"/>
        <i x="185" s="1"/>
        <i x="162" s="1"/>
        <i x="357" s="1"/>
        <i x="243" s="1"/>
        <i x="487" s="1"/>
        <i x="241" s="1"/>
        <i x="382" s="1"/>
        <i x="403" s="1"/>
        <i x="336" s="1"/>
        <i x="470" s="1"/>
        <i x="102" s="1"/>
        <i x="481" s="1"/>
        <i x="350" s="1"/>
        <i x="327" s="1"/>
        <i x="381" s="1"/>
        <i x="259" s="1"/>
        <i x="398" s="1"/>
        <i x="367" s="1"/>
        <i x="111" s="1"/>
        <i x="454" s="1"/>
        <i x="291" s="1"/>
        <i x="284" s="1"/>
        <i x="440" s="1"/>
        <i x="342" s="1"/>
        <i x="153" s="1"/>
        <i x="184" s="1"/>
        <i x="494" s="1"/>
        <i x="489" s="1"/>
        <i x="234" s="1"/>
        <i x="476" s="1"/>
        <i x="368" s="1"/>
        <i x="145" s="1"/>
        <i x="87" s="1"/>
        <i x="456" s="1"/>
        <i x="442" s="1"/>
        <i x="418" s="1"/>
        <i x="337" s="1"/>
        <i x="176" s="1"/>
        <i x="248" s="1"/>
        <i x="355" s="1"/>
        <i x="474" s="1"/>
        <i x="462" s="1"/>
        <i x="249" s="1"/>
        <i x="400" s="1"/>
        <i x="364" s="1"/>
        <i x="344" s="1"/>
        <i x="274" s="1"/>
        <i x="136" s="1"/>
        <i x="457" s="1"/>
        <i x="200" s="1"/>
        <i x="393" s="1"/>
        <i x="299" s="1"/>
        <i x="82" s="1"/>
        <i x="360" s="1"/>
        <i x="443" s="1"/>
        <i x="247" s="1"/>
        <i x="269" s="1"/>
        <i x="438" s="1"/>
        <i x="425" s="1"/>
        <i x="196" s="1"/>
        <i x="156" s="1"/>
        <i x="238" s="1"/>
        <i x="372" s="1"/>
        <i x="334" s="1"/>
        <i x="166" s="1"/>
        <i x="352" s="1"/>
        <i x="303" s="1"/>
        <i x="244" s="1"/>
        <i x="463" s="1"/>
        <i x="203" s="1"/>
        <i x="79" s="1"/>
        <i x="498" s="1"/>
        <i x="480" s="1"/>
        <i x="96" s="1"/>
        <i x="232" s="1"/>
        <i x="300" s="1"/>
        <i x="214" s="1"/>
        <i x="318" s="1"/>
        <i x="467" s="1"/>
        <i x="405" s="1"/>
        <i x="395" s="1"/>
        <i x="154" s="1"/>
        <i x="385" s="1"/>
        <i x="329" s="1"/>
        <i x="129" s="1"/>
        <i x="135" s="1"/>
        <i x="451" s="1"/>
        <i x="471" s="1"/>
        <i x="353" s="1"/>
        <i x="285" s="1"/>
        <i x="85" s="1"/>
        <i x="478" s="1"/>
        <i x="479" s="1"/>
        <i x="362" s="1"/>
        <i x="261" s="1"/>
        <i x="62" s="1"/>
        <i x="301" s="1"/>
        <i x="384" s="1"/>
        <i x="95" s="1"/>
        <i x="341" s="1"/>
        <i x="151" s="1"/>
        <i x="71" s="1"/>
        <i x="84" s="1"/>
        <i x="366" s="1"/>
        <i x="446" s="1"/>
        <i x="411" s="1"/>
        <i x="194" s="1"/>
        <i x="484" s="1"/>
        <i x="294" s="1"/>
        <i x="266" s="1"/>
        <i x="264" s="1"/>
        <i x="224" s="1"/>
        <i x="148" s="1"/>
        <i x="201" s="1"/>
        <i x="251" s="1"/>
        <i x="445" s="1"/>
        <i x="39" s="1"/>
        <i x="437" s="1"/>
        <i x="349" s="1"/>
        <i x="92" s="1"/>
        <i x="288" s="1"/>
        <i x="458" s="1"/>
        <i x="307" s="1"/>
        <i x="420" s="1"/>
        <i x="233" s="1"/>
        <i x="286" s="1"/>
        <i x="157" s="1"/>
        <i x="444" s="1"/>
        <i x="273" s="1"/>
        <i x="296" s="1"/>
        <i x="113" s="1"/>
        <i x="191" s="1"/>
        <i x="265" s="1"/>
        <i x="356" s="1"/>
        <i x="236" s="1"/>
        <i x="421" s="1"/>
        <i x="217" s="1"/>
        <i x="216" s="1"/>
        <i x="107" s="1"/>
        <i x="326" s="1"/>
        <i x="358" s="1"/>
        <i x="197" s="1"/>
        <i x="225" s="1"/>
        <i x="441" s="1"/>
        <i x="109" s="1"/>
        <i x="429" s="1"/>
        <i x="108" s="1"/>
        <i x="190" s="1"/>
        <i x="101" s="1"/>
        <i x="123" s="1"/>
        <i x="455" s="1"/>
        <i x="428" s="1"/>
        <i x="435" s="1"/>
        <i x="72" s="1"/>
        <i x="338" s="1"/>
        <i x="407" s="1"/>
        <i x="64" s="1"/>
        <i x="76" s="1"/>
        <i x="155" s="1"/>
        <i x="448" s="1"/>
        <i x="128" s="1"/>
        <i x="212" s="1"/>
        <i x="229" s="1"/>
        <i x="397" s="1"/>
        <i x="302" s="1"/>
        <i x="345" s="1"/>
        <i x="57" s="1"/>
        <i x="277" s="1"/>
        <i x="171" s="1"/>
        <i x="394" s="1"/>
        <i x="161" s="1"/>
        <i x="69" s="1"/>
        <i x="183" s="1"/>
        <i x="404" s="1"/>
        <i x="409" s="1"/>
        <i x="339" s="1"/>
        <i x="231" s="1"/>
        <i x="127" s="1"/>
        <i x="199" s="1"/>
        <i x="25" s="1"/>
        <i x="55" s="1"/>
        <i x="268" s="1"/>
        <i x="375" s="1"/>
        <i x="130" s="1"/>
        <i x="118" s="1"/>
        <i x="215" s="1"/>
        <i x="20" s="1"/>
        <i x="370" s="1"/>
        <i x="208" s="1"/>
        <i x="16" s="1"/>
        <i x="298" s="1"/>
        <i x="138" s="1"/>
        <i x="280" s="1"/>
        <i x="152" s="1"/>
        <i x="464" s="1"/>
        <i x="165" s="1"/>
        <i x="283" s="1"/>
        <i x="65" s="1"/>
        <i x="424" s="1"/>
        <i x="68" s="1"/>
        <i x="106" s="1"/>
        <i x="333" s="1"/>
        <i x="328" s="1"/>
        <i x="211" s="1"/>
        <i x="309" s="1"/>
        <i x="389" s="1"/>
        <i x="149" s="1"/>
        <i x="472" s="1"/>
        <i x="262" s="1"/>
        <i x="434" s="1"/>
        <i x="287" s="1"/>
        <i x="468" s="1"/>
        <i x="209" s="1"/>
        <i x="240" s="1"/>
        <i x="74" s="1"/>
        <i x="313" s="1"/>
        <i x="139" s="1"/>
        <i x="415" s="1"/>
        <i x="186" s="1"/>
        <i x="220" s="1"/>
        <i x="140" s="1"/>
        <i x="182" s="1"/>
        <i x="218" s="1"/>
        <i x="45" s="1"/>
        <i x="133" s="1"/>
        <i x="49" s="1"/>
        <i x="253" s="1"/>
        <i x="46" s="1"/>
        <i x="383" s="1"/>
        <i x="27" s="1"/>
        <i x="42" s="1"/>
        <i x="34" s="1"/>
        <i x="19" s="1"/>
        <i x="170" s="1"/>
        <i x="61" s="1"/>
        <i x="54" s="1"/>
        <i x="97" s="1"/>
        <i x="38" s="1"/>
        <i x="289" s="1"/>
        <i x="426" s="1"/>
        <i x="281" s="1"/>
        <i x="122" s="1"/>
        <i x="91" s="1"/>
        <i x="378" s="1"/>
        <i x="369" s="1"/>
        <i x="417" s="1"/>
        <i x="192" s="1"/>
        <i x="260" s="1"/>
        <i x="412" s="1"/>
        <i x="53" s="1"/>
        <i x="306" s="1"/>
        <i x="147" s="1"/>
        <i x="317" s="1"/>
        <i x="88" s="1"/>
        <i x="250" s="1"/>
        <i x="308" s="1"/>
        <i x="9" s="1"/>
        <i x="86" s="1"/>
        <i x="228" s="1"/>
        <i x="304" s="1"/>
        <i x="81" s="1"/>
        <i x="204" s="1"/>
        <i x="121" s="1"/>
        <i x="235" s="1"/>
        <i x="483" s="1"/>
        <i x="58" s="1"/>
        <i x="312" s="1"/>
        <i x="399" s="1"/>
        <i x="83" s="1"/>
        <i x="103" s="1"/>
        <i x="178" s="1"/>
        <i x="124" s="1"/>
        <i x="325" s="1"/>
        <i x="63" s="1"/>
        <i x="89" s="1"/>
        <i x="66" s="1"/>
        <i x="175" s="1"/>
        <i x="242" s="1"/>
        <i x="78" s="1"/>
        <i x="271" s="1"/>
        <i x="98" s="1"/>
        <i x="24" s="1"/>
        <i x="388" s="1"/>
        <i x="117" s="1"/>
        <i x="30" s="1"/>
        <i x="41" s="1"/>
        <i x="67" s="1"/>
        <i x="258" s="1"/>
        <i x="310" s="1"/>
        <i x="343" s="1"/>
        <i x="120" s="1"/>
        <i x="222" s="1"/>
        <i x="322" s="1"/>
        <i x="10" s="1"/>
        <i x="126" s="1"/>
        <i x="131" s="1"/>
        <i x="223" s="1"/>
        <i x="331" s="1"/>
        <i x="100" s="1"/>
        <i x="12" s="1"/>
        <i x="374" s="1"/>
        <i x="267" s="1"/>
        <i x="144" s="1"/>
        <i x="104" s="1"/>
        <i x="245" s="1"/>
        <i x="160" s="1"/>
        <i x="22" s="1"/>
        <i x="348" s="1"/>
        <i x="4" s="1"/>
        <i x="207" s="1"/>
        <i x="28" s="1"/>
        <i x="112" s="1"/>
        <i x="51" s="1"/>
        <i x="29" s="1"/>
        <i x="36" s="1"/>
        <i x="282" s="1"/>
        <i x="73" s="1"/>
        <i x="1" s="1"/>
        <i x="119" s="1"/>
        <i x="324" s="1"/>
        <i x="17" s="1"/>
        <i x="187" s="1"/>
        <i x="31" s="1"/>
        <i x="93" s="1"/>
        <i x="60" s="1"/>
        <i x="227" s="1"/>
        <i x="164" s="1"/>
        <i x="48" s="1"/>
        <i x="90" s="1"/>
        <i x="278" s="1"/>
        <i x="18" s="1"/>
        <i x="275" s="1"/>
        <i x="180" s="1"/>
        <i x="172" s="1"/>
        <i x="174" s="1"/>
        <i x="158" s="1"/>
        <i x="13" s="1"/>
        <i x="0" s="1"/>
        <i x="198" s="1"/>
        <i x="195" s="1"/>
        <i x="202" s="1"/>
        <i x="115" s="1"/>
        <i x="8" s="1"/>
        <i x="305" s="1"/>
        <i x="452" s="1"/>
        <i x="2" s="1"/>
        <i x="125" s="1"/>
        <i x="32" s="1"/>
        <i x="94" s="1"/>
        <i x="169" s="1"/>
        <i x="110" s="1"/>
        <i x="7" s="1"/>
        <i x="321" s="1"/>
        <i x="35" s="1"/>
        <i x="37" s="1"/>
        <i x="14" s="1"/>
        <i x="33" s="1"/>
        <i x="23" s="1"/>
        <i x="179" s="1"/>
        <i x="189" s="1"/>
        <i x="75" s="1"/>
        <i x="105" s="1"/>
        <i x="295" s="1"/>
        <i x="230" s="1"/>
        <i x="59" s="1"/>
        <i x="142" s="1"/>
        <i x="373" s="1"/>
        <i x="246" s="1"/>
        <i x="276" s="1"/>
        <i x="408" s="1"/>
        <i x="26" s="1"/>
        <i x="52" s="1"/>
        <i x="114" s="1"/>
        <i x="99" s="1"/>
        <i x="56" s="1"/>
        <i x="47" s="1"/>
        <i x="11" s="1"/>
        <i x="159" s="1"/>
        <i x="5" s="1"/>
        <i x="146" s="1"/>
        <i x="116" s="1"/>
        <i x="239" s="1"/>
        <i x="226" s="1"/>
        <i x="15" s="1"/>
        <i x="173" s="1"/>
        <i x="40" s="1"/>
        <i x="44" s="1"/>
        <i x="351" s="1"/>
        <i x="21" s="1"/>
        <i x="206" s="1"/>
        <i x="3" s="1"/>
        <i x="6"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otal_Sales" xr10:uid="{29F84656-17CA-4613-AE99-2596FFF00334}" sourceName="Employee Total Sales">
  <pivotTables>
    <pivotTable tabId="8" name="PivotTable32"/>
  </pivotTables>
  <data>
    <tabular pivotCacheId="640894638">
      <items count="500">
        <i x="499" s="1"/>
        <i x="498" s="1"/>
        <i x="497" s="1"/>
        <i x="496" s="1"/>
        <i x="495" s="1"/>
        <i x="494" s="1"/>
        <i x="493" s="1"/>
        <i x="492" s="1"/>
        <i x="491" s="1"/>
        <i x="490" s="1"/>
        <i x="489" s="1"/>
        <i x="488" s="1"/>
        <i x="487" s="1"/>
        <i x="486" s="1"/>
        <i x="485" s="1"/>
        <i x="484" s="1"/>
        <i x="483" s="1"/>
        <i x="482" s="1"/>
        <i x="481" s="1"/>
        <i x="480" s="1"/>
        <i x="479" s="1"/>
        <i x="478" s="1"/>
        <i x="477" s="1"/>
        <i x="476" s="1"/>
        <i x="475" s="1"/>
        <i x="474" s="1"/>
        <i x="473" s="1"/>
        <i x="472" s="1"/>
        <i x="471" s="1"/>
        <i x="470" s="1"/>
        <i x="469" s="1"/>
        <i x="468" s="1"/>
        <i x="467" s="1"/>
        <i x="466" s="1"/>
        <i x="465" s="1"/>
        <i x="464" s="1"/>
        <i x="463" s="1"/>
        <i x="462" s="1"/>
        <i x="461" s="1"/>
        <i x="460" s="1"/>
        <i x="459" s="1"/>
        <i x="458" s="1"/>
        <i x="457" s="1"/>
        <i x="456" s="1"/>
        <i x="455" s="1"/>
        <i x="454" s="1"/>
        <i x="453" s="1"/>
        <i x="452" s="1"/>
        <i x="451" s="1"/>
        <i x="450" s="1"/>
        <i x="449" s="1"/>
        <i x="448" s="1"/>
        <i x="447" s="1"/>
        <i x="446" s="1"/>
        <i x="445" s="1"/>
        <i x="444" s="1"/>
        <i x="443" s="1"/>
        <i x="442" s="1"/>
        <i x="441" s="1"/>
        <i x="440" s="1"/>
        <i x="439" s="1"/>
        <i x="438" s="1"/>
        <i x="437" s="1"/>
        <i x="436" s="1"/>
        <i x="435" s="1"/>
        <i x="434" s="1"/>
        <i x="433" s="1"/>
        <i x="432" s="1"/>
        <i x="431" s="1"/>
        <i x="430" s="1"/>
        <i x="429" s="1"/>
        <i x="428" s="1"/>
        <i x="427" s="1"/>
        <i x="426" s="1"/>
        <i x="425" s="1"/>
        <i x="424" s="1"/>
        <i x="423" s="1"/>
        <i x="422" s="1"/>
        <i x="421" s="1"/>
        <i x="420" s="1"/>
        <i x="419" s="1"/>
        <i x="418" s="1"/>
        <i x="417" s="1"/>
        <i x="416" s="1"/>
        <i x="415" s="1"/>
        <i x="414" s="1"/>
        <i x="413" s="1"/>
        <i x="412" s="1"/>
        <i x="411" s="1"/>
        <i x="410" s="1"/>
        <i x="409" s="1"/>
        <i x="408" s="1"/>
        <i x="407" s="1"/>
        <i x="406" s="1"/>
        <i x="405" s="1"/>
        <i x="404" s="1"/>
        <i x="403" s="1"/>
        <i x="402" s="1"/>
        <i x="401" s="1"/>
        <i x="400" s="1"/>
        <i x="399" s="1"/>
        <i x="398" s="1"/>
        <i x="397" s="1"/>
        <i x="396" s="1"/>
        <i x="395" s="1"/>
        <i x="394" s="1"/>
        <i x="393" s="1"/>
        <i x="392" s="1"/>
        <i x="391" s="1"/>
        <i x="390" s="1"/>
        <i x="389" s="1"/>
        <i x="388" s="1"/>
        <i x="387" s="1"/>
        <i x="386" s="1"/>
        <i x="385" s="1"/>
        <i x="384" s="1"/>
        <i x="383" s="1"/>
        <i x="382" s="1"/>
        <i x="381" s="1"/>
        <i x="380" s="1"/>
        <i x="379" s="1"/>
        <i x="378" s="1"/>
        <i x="377" s="1"/>
        <i x="376" s="1"/>
        <i x="375" s="1"/>
        <i x="374" s="1"/>
        <i x="373" s="1"/>
        <i x="372" s="1"/>
        <i x="371" s="1"/>
        <i x="370" s="1"/>
        <i x="369" s="1"/>
        <i x="368" s="1"/>
        <i x="367" s="1"/>
        <i x="366" s="1"/>
        <i x="365" s="1"/>
        <i x="364" s="1"/>
        <i x="363" s="1"/>
        <i x="61" s="1"/>
        <i x="361" s="1"/>
        <i x="360" s="1"/>
        <i x="359" s="1"/>
        <i x="358" s="1"/>
        <i x="357" s="1"/>
        <i x="356" s="1"/>
        <i x="355" s="1"/>
        <i x="354" s="1"/>
        <i x="353" s="1"/>
        <i x="352" s="1"/>
        <i x="351" s="1"/>
        <i x="350" s="1"/>
        <i x="349" s="1"/>
        <i x="348" s="1"/>
        <i x="347" s="1"/>
        <i x="346" s="1"/>
        <i x="345" s="1"/>
        <i x="344" s="1"/>
        <i x="343" s="1"/>
        <i x="342" s="1"/>
        <i x="341" s="1"/>
        <i x="340" s="1"/>
        <i x="339" s="1"/>
        <i x="338" s="1"/>
        <i x="337" s="1"/>
        <i x="336" s="1"/>
        <i x="335" s="1"/>
        <i x="334" s="1"/>
        <i x="333" s="1"/>
        <i x="332" s="1"/>
        <i x="331" s="1"/>
        <i x="330" s="1"/>
        <i x="329" s="1"/>
        <i x="328" s="1"/>
        <i x="327" s="1"/>
        <i x="326" s="1"/>
        <i x="325" s="1"/>
        <i x="324" s="1"/>
        <i x="323" s="1"/>
        <i x="322" s="1"/>
        <i x="321" s="1"/>
        <i x="320" s="1"/>
        <i x="319" s="1"/>
        <i x="318" s="1"/>
        <i x="31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362"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A7C190E6-E01F-4229-B50B-47D7CF6D4D69}" cache="Slicer_Name" caption="Name" startItem="12" rowHeight="241300"/>
  <slicer name="Department" xr10:uid="{3A6CF34E-2CCF-41A3-A5AD-CA28E65F4269}" cache="Slicer_Department" caption="Department" rowHeight="241300"/>
  <slicer name="Region" xr10:uid="{9E210871-AE89-4FAB-BEF4-4E2108FAE448}" cache="Slicer_Region" caption="Region" rowHeight="241300"/>
  <slicer name="Sales (Q1)" xr10:uid="{B7EC65B0-7468-4D0E-AAD4-7E6E4A33E29F}" cache="Slicer_Sales__Q1" caption="Sales (Q1)" rowHeight="241300"/>
  <slicer name="Sales (Q2)" xr10:uid="{B7DFFD2F-B7BB-4CAE-B75C-0C0E8B44CC5C}" cache="Slicer_Sales__Q2" caption="Sales (Q2)" startItem="16" rowHeight="241300"/>
  <slicer name="Sales (Q3)" xr10:uid="{9104D6E8-F1F5-4E60-A36E-638F3A7085DB}" cache="Slicer_Sales__Q3" caption="Sales (Q3)" startItem="16" rowHeight="241300"/>
  <slicer name="Sales (Q4)" xr10:uid="{79792678-147A-46EE-A3FF-070A8A732A75}" cache="Slicer_Sales__Q4" caption="Sales (Q4)" rowHeight="241300"/>
  <slicer name="Employee Total Sales" xr10:uid="{676E5AC1-A422-4F3E-9197-0E54328847CD}" cache="Slicer_Employee_Total_Sales" caption="Employee Total Sal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7B7F7F-A52B-4995-AF51-97E26665E5F6}" name="Table1" displayName="Table1" ref="A1:M502" totalsRowCount="1" headerRowDxfId="89" headerRowBorderDxfId="88" tableBorderDxfId="87">
  <autoFilter ref="A1:M501" xr:uid="{777B7F7F-A52B-4995-AF51-97E26665E5F6}"/>
  <sortState xmlns:xlrd2="http://schemas.microsoft.com/office/spreadsheetml/2017/richdata2" ref="A2:M501">
    <sortCondition ref="L1:L501"/>
  </sortState>
  <tableColumns count="13">
    <tableColumn id="1" xr3:uid="{BA26725E-7052-42BF-80AC-F891553AE597}" name="Employee ID"/>
    <tableColumn id="2" xr3:uid="{FBD7AF63-BED8-4E4A-9D3D-2BD913B87F28}" name="Name"/>
    <tableColumn id="3" xr3:uid="{8FDD4F54-BBA5-4EDF-A9E3-D2F78E1D166A}" name="Department"/>
    <tableColumn id="4" xr3:uid="{C20522BA-B752-4BF1-8CBE-44E8C73BD47A}" name="Region"/>
    <tableColumn id="5" xr3:uid="{7AFD5327-77BE-49BD-B2CC-0053329BD5C1}" name="Email" dataCellStyle="Hyperlink"/>
    <tableColumn id="6" xr3:uid="{8AA4CC31-CF2A-4F5C-B06B-94E63C7FEAA7}" name="Phone Number" dataDxfId="86"/>
    <tableColumn id="7" xr3:uid="{55FC32A2-306F-4C4A-BB1E-01FF07C8FFE3}" name="Sales (Q1)" dataDxfId="85" totalsRowDxfId="84"/>
    <tableColumn id="8" xr3:uid="{1EEC55F2-B26F-4125-9362-B904AD9494D6}" name="Sales (Q2)" dataDxfId="83" totalsRowDxfId="82"/>
    <tableColumn id="9" xr3:uid="{537D2435-22E7-40CC-9DFB-C53BA854B84B}" name="Sales (Q3)" dataDxfId="81" totalsRowDxfId="80"/>
    <tableColumn id="10" xr3:uid="{7A24C953-B6D2-4536-9C98-D35BAC1F0EDE}" name="Sales (Q4)" dataDxfId="79" totalsRowDxfId="17" dataCellStyle="Currency"/>
    <tableColumn id="11" xr3:uid="{5A16E5CA-BA0A-4973-A41F-6E952221C2B4}" name="Employee Total Sales" dataDxfId="78" totalsRowDxfId="77">
      <calculatedColumnFormula>SUM(Table1[[#This Row],[Sales (Q1)]:[Sales (Q4)]])</calculatedColumnFormula>
    </tableColumn>
    <tableColumn id="15" xr3:uid="{FA0A31C4-2A9D-4CF7-9057-F0925E916C03}" name="Sales Performance" dataDxfId="76" totalsRowDxfId="19">
      <calculatedColumnFormula>IF(Table1[[#This Row],[Employee Total Sales]]&gt;=200000,"High Performer",IF(Table1[[#This Row],[Employee Total Sales]]&gt;=180000,"Mid Performer","Low Performer"))</calculatedColumnFormula>
    </tableColumn>
    <tableColumn id="16" xr3:uid="{B8D10330-335E-4B30-8758-538FF1937DE5}" name="Performance Rating" dataDxfId="75" totalsRowDxfId="18">
      <calculatedColumnFormula>IF(Table1[[#This Row],[Sales Performance]]="High Performer","Eligible for Promotion",IF(Table1[[#This Row],[Sales Performance]]="Low Performer","Review Cause Effect","Room For Growth"))</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E7857C-30A2-4CE1-B696-4466B61D17AA}" name="Table2" displayName="Table2" ref="O8:Q9" totalsRowShown="0">
  <autoFilter ref="O8:Q9" xr:uid="{09E7857C-30A2-4CE1-B696-4466B61D17AA}"/>
  <tableColumns count="3">
    <tableColumn id="2" xr3:uid="{964EC019-169C-49C6-8960-8A087710B830}" name="Department">
      <calculatedColumnFormula array="1">_xlfn.XLOOKUP(O5,Name,C2:C501,)</calculatedColumnFormula>
    </tableColumn>
    <tableColumn id="3" xr3:uid="{2BE5E10C-8DCD-43F0-AAC3-9619C282D2DB}" name="Region">
      <calculatedColumnFormula array="1">_xlfn.XLOOKUP(Table3[Employee],Name,D2:D501,)</calculatedColumnFormula>
    </tableColumn>
    <tableColumn id="4" xr3:uid="{C22301E3-D8CD-42CC-9CB5-05EADAC19585}" name="Total Sales " dataDxfId="74" dataCellStyle="Currency">
      <calculatedColumnFormula array="1">_xlfn.XLOOKUP(Table3[Employee],Name,K2:K501,)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2FA3AE-EACE-46E1-84F0-8E9A2D0485D2}" name="Table3" displayName="Table3" ref="O4:O5" totalsRowShown="0">
  <autoFilter ref="O4:O5" xr:uid="{E32FA3AE-EACE-46E1-84F0-8E9A2D0485D2}"/>
  <tableColumns count="1">
    <tableColumn id="1" xr3:uid="{73FE6192-819E-4829-8C9E-022DD4926243}" name="Employee"/>
  </tableColumns>
  <tableStyleInfo name="TableStyleLight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mailto:michael.rodriguez@company.com" TargetMode="External"/><Relationship Id="rId299" Type="http://schemas.openxmlformats.org/officeDocument/2006/relationships/hyperlink" Target="mailto:elizabethmartinez@company.com" TargetMode="External"/><Relationship Id="rId21" Type="http://schemas.openxmlformats.org/officeDocument/2006/relationships/hyperlink" Target="mailto:robert.taylor@company.com" TargetMode="External"/><Relationship Id="rId63" Type="http://schemas.openxmlformats.org/officeDocument/2006/relationships/hyperlink" Target="mailto:annajohnson@company.com" TargetMode="External"/><Relationship Id="rId159" Type="http://schemas.openxmlformats.org/officeDocument/2006/relationships/hyperlink" Target="mailto:annataylor@company.com" TargetMode="External"/><Relationship Id="rId324" Type="http://schemas.openxmlformats.org/officeDocument/2006/relationships/hyperlink" Target="mailto:jenniferthomas@company.com" TargetMode="External"/><Relationship Id="rId366" Type="http://schemas.openxmlformats.org/officeDocument/2006/relationships/hyperlink" Target="mailto:richard.taylor@company.com" TargetMode="External"/><Relationship Id="rId170" Type="http://schemas.openxmlformats.org/officeDocument/2006/relationships/hyperlink" Target="mailto:jennifer.thomas@company.com" TargetMode="External"/><Relationship Id="rId226" Type="http://schemas.openxmlformats.org/officeDocument/2006/relationships/hyperlink" Target="mailto:michael.lopez@company.com" TargetMode="External"/><Relationship Id="rId433" Type="http://schemas.openxmlformats.org/officeDocument/2006/relationships/hyperlink" Target="mailto:richard_brown@company.com" TargetMode="External"/><Relationship Id="rId268" Type="http://schemas.openxmlformats.org/officeDocument/2006/relationships/hyperlink" Target="mailto:barbarawright@company.com" TargetMode="External"/><Relationship Id="rId32" Type="http://schemas.openxmlformats.org/officeDocument/2006/relationships/hyperlink" Target="mailto:elizabeth_taylor@company.com" TargetMode="External"/><Relationship Id="rId74" Type="http://schemas.openxmlformats.org/officeDocument/2006/relationships/hyperlink" Target="mailto:peterthomas@company.com" TargetMode="External"/><Relationship Id="rId128" Type="http://schemas.openxmlformats.org/officeDocument/2006/relationships/hyperlink" Target="mailto:elizabeth.miller@company.com" TargetMode="External"/><Relationship Id="rId335" Type="http://schemas.openxmlformats.org/officeDocument/2006/relationships/hyperlink" Target="mailto:susansmith@company.com" TargetMode="External"/><Relationship Id="rId377" Type="http://schemas.openxmlformats.org/officeDocument/2006/relationships/hyperlink" Target="mailto:linda.wright@company.com" TargetMode="External"/><Relationship Id="rId5" Type="http://schemas.openxmlformats.org/officeDocument/2006/relationships/hyperlink" Target="mailto:davidoconnel@company.com" TargetMode="External"/><Relationship Id="rId181" Type="http://schemas.openxmlformats.org/officeDocument/2006/relationships/hyperlink" Target="mailto:john.wilson@company.com" TargetMode="External"/><Relationship Id="rId237" Type="http://schemas.openxmlformats.org/officeDocument/2006/relationships/hyperlink" Target="mailto:peter.miller@company.com" TargetMode="External"/><Relationship Id="rId402" Type="http://schemas.openxmlformats.org/officeDocument/2006/relationships/hyperlink" Target="mailto:anna.garcia@company.com" TargetMode="External"/><Relationship Id="rId279" Type="http://schemas.openxmlformats.org/officeDocument/2006/relationships/hyperlink" Target="mailto:anna.anderson@company.com" TargetMode="External"/><Relationship Id="rId444" Type="http://schemas.openxmlformats.org/officeDocument/2006/relationships/hyperlink" Target="mailto:mary.miller@company.com" TargetMode="External"/><Relationship Id="rId43" Type="http://schemas.openxmlformats.org/officeDocument/2006/relationships/hyperlink" Target="mailto:william.brown@company.com" TargetMode="External"/><Relationship Id="rId139" Type="http://schemas.openxmlformats.org/officeDocument/2006/relationships/hyperlink" Target="mailto:robert.wilson@company.com" TargetMode="External"/><Relationship Id="rId290" Type="http://schemas.openxmlformats.org/officeDocument/2006/relationships/hyperlink" Target="mailto:patriciamartinez@company.com" TargetMode="External"/><Relationship Id="rId304" Type="http://schemas.openxmlformats.org/officeDocument/2006/relationships/hyperlink" Target="mailto:linda.davis@company.com" TargetMode="External"/><Relationship Id="rId346" Type="http://schemas.openxmlformats.org/officeDocument/2006/relationships/hyperlink" Target="mailto:richardanderson@company.com" TargetMode="External"/><Relationship Id="rId388" Type="http://schemas.openxmlformats.org/officeDocument/2006/relationships/hyperlink" Target="mailto:james.rodriguez@company.com" TargetMode="External"/><Relationship Id="rId85" Type="http://schemas.openxmlformats.org/officeDocument/2006/relationships/hyperlink" Target="mailto:patricia.smith@company.com" TargetMode="External"/><Relationship Id="rId150" Type="http://schemas.openxmlformats.org/officeDocument/2006/relationships/hyperlink" Target="mailto:james_miller@company.com" TargetMode="External"/><Relationship Id="rId192" Type="http://schemas.openxmlformats.org/officeDocument/2006/relationships/hyperlink" Target="mailto:elizabeth.wright@company.com" TargetMode="External"/><Relationship Id="rId206" Type="http://schemas.openxmlformats.org/officeDocument/2006/relationships/hyperlink" Target="mailto:david.garcia@company.com" TargetMode="External"/><Relationship Id="rId413" Type="http://schemas.openxmlformats.org/officeDocument/2006/relationships/hyperlink" Target="mailto:susanadams@company.com" TargetMode="External"/><Relationship Id="rId248" Type="http://schemas.openxmlformats.org/officeDocument/2006/relationships/hyperlink" Target="mailto:james.taylor@company.com" TargetMode="External"/><Relationship Id="rId455" Type="http://schemas.openxmlformats.org/officeDocument/2006/relationships/hyperlink" Target="mailto:patriciagarcia@company.com" TargetMode="External"/><Relationship Id="rId12" Type="http://schemas.openxmlformats.org/officeDocument/2006/relationships/hyperlink" Target="mailto:james.martinez@company.com" TargetMode="External"/><Relationship Id="rId108" Type="http://schemas.openxmlformats.org/officeDocument/2006/relationships/hyperlink" Target="mailto:johndavis@company.com" TargetMode="External"/><Relationship Id="rId315" Type="http://schemas.openxmlformats.org/officeDocument/2006/relationships/hyperlink" Target="mailto:william_miller@company.com" TargetMode="External"/><Relationship Id="rId357" Type="http://schemas.openxmlformats.org/officeDocument/2006/relationships/hyperlink" Target="mailto:jameswright@company.com" TargetMode="External"/><Relationship Id="rId54" Type="http://schemas.openxmlformats.org/officeDocument/2006/relationships/hyperlink" Target="mailto:linda.wilson@company.com" TargetMode="External"/><Relationship Id="rId96" Type="http://schemas.openxmlformats.org/officeDocument/2006/relationships/hyperlink" Target="mailto:richardwilson@company.com" TargetMode="External"/><Relationship Id="rId161" Type="http://schemas.openxmlformats.org/officeDocument/2006/relationships/hyperlink" Target="mailto:jennifer.rodriguez@company.com" TargetMode="External"/><Relationship Id="rId217" Type="http://schemas.openxmlformats.org/officeDocument/2006/relationships/hyperlink" Target="mailto:richardadams@company.com" TargetMode="External"/><Relationship Id="rId399" Type="http://schemas.openxmlformats.org/officeDocument/2006/relationships/hyperlink" Target="mailto:anna.anderson@company.com" TargetMode="External"/><Relationship Id="rId259" Type="http://schemas.openxmlformats.org/officeDocument/2006/relationships/hyperlink" Target="mailto:richard.smith@company.com" TargetMode="External"/><Relationship Id="rId424" Type="http://schemas.openxmlformats.org/officeDocument/2006/relationships/hyperlink" Target="mailto:michael.garcia@company.com" TargetMode="External"/><Relationship Id="rId466" Type="http://schemas.openxmlformats.org/officeDocument/2006/relationships/hyperlink" Target="mailto:peter.wright@company.com" TargetMode="External"/><Relationship Id="rId23" Type="http://schemas.openxmlformats.org/officeDocument/2006/relationships/hyperlink" Target="mailto:barbara.taylor@company.com" TargetMode="External"/><Relationship Id="rId119" Type="http://schemas.openxmlformats.org/officeDocument/2006/relationships/hyperlink" Target="mailto:james.martinez@company.com" TargetMode="External"/><Relationship Id="rId270" Type="http://schemas.openxmlformats.org/officeDocument/2006/relationships/hyperlink" Target="mailto:williamlopez@company.com" TargetMode="External"/><Relationship Id="rId326" Type="http://schemas.openxmlformats.org/officeDocument/2006/relationships/hyperlink" Target="mailto:anna_garcia@company.com" TargetMode="External"/><Relationship Id="rId65" Type="http://schemas.openxmlformats.org/officeDocument/2006/relationships/hyperlink" Target="mailto:lindawilson@company.com" TargetMode="External"/><Relationship Id="rId130" Type="http://schemas.openxmlformats.org/officeDocument/2006/relationships/hyperlink" Target="mailto:linda.davis@company.com" TargetMode="External"/><Relationship Id="rId368" Type="http://schemas.openxmlformats.org/officeDocument/2006/relationships/hyperlink" Target="mailto:lindathomas@company.com" TargetMode="External"/><Relationship Id="rId172" Type="http://schemas.openxmlformats.org/officeDocument/2006/relationships/hyperlink" Target="mailto:barbara.taylor@company.com" TargetMode="External"/><Relationship Id="rId228" Type="http://schemas.openxmlformats.org/officeDocument/2006/relationships/hyperlink" Target="mailto:robert_wilson@company.com" TargetMode="External"/><Relationship Id="rId435" Type="http://schemas.openxmlformats.org/officeDocument/2006/relationships/hyperlink" Target="mailto:jennifertaylor@company.com" TargetMode="External"/><Relationship Id="rId281" Type="http://schemas.openxmlformats.org/officeDocument/2006/relationships/hyperlink" Target="mailto:john_wilson@company.com" TargetMode="External"/><Relationship Id="rId337" Type="http://schemas.openxmlformats.org/officeDocument/2006/relationships/hyperlink" Target="mailto:barbara.thomas@company.com" TargetMode="External"/><Relationship Id="rId34" Type="http://schemas.openxmlformats.org/officeDocument/2006/relationships/hyperlink" Target="mailto:elizabethrodriguez@company.com" TargetMode="External"/><Relationship Id="rId76" Type="http://schemas.openxmlformats.org/officeDocument/2006/relationships/hyperlink" Target="mailto:jennifer_brown@company.com" TargetMode="External"/><Relationship Id="rId141" Type="http://schemas.openxmlformats.org/officeDocument/2006/relationships/hyperlink" Target="mailto:susan.wilson@company.com" TargetMode="External"/><Relationship Id="rId379" Type="http://schemas.openxmlformats.org/officeDocument/2006/relationships/hyperlink" Target="mailto:jennifer_lopez@company.com" TargetMode="External"/><Relationship Id="rId7" Type="http://schemas.openxmlformats.org/officeDocument/2006/relationships/hyperlink" Target="mailto:john.anderson@company.com" TargetMode="External"/><Relationship Id="rId183" Type="http://schemas.openxmlformats.org/officeDocument/2006/relationships/hyperlink" Target="mailto:john.thomas@company.com" TargetMode="External"/><Relationship Id="rId239" Type="http://schemas.openxmlformats.org/officeDocument/2006/relationships/hyperlink" Target="mailto:david.taylor@company.com" TargetMode="External"/><Relationship Id="rId390" Type="http://schemas.openxmlformats.org/officeDocument/2006/relationships/hyperlink" Target="mailto:patricialopez@company.com" TargetMode="External"/><Relationship Id="rId404" Type="http://schemas.openxmlformats.org/officeDocument/2006/relationships/hyperlink" Target="mailto:elizabeth.thomas@company.com" TargetMode="External"/><Relationship Id="rId446" Type="http://schemas.openxmlformats.org/officeDocument/2006/relationships/hyperlink" Target="mailto:annasmith@company.com" TargetMode="External"/><Relationship Id="rId250" Type="http://schemas.openxmlformats.org/officeDocument/2006/relationships/hyperlink" Target="mailto:robert_anderson@company.com" TargetMode="External"/><Relationship Id="rId292" Type="http://schemas.openxmlformats.org/officeDocument/2006/relationships/hyperlink" Target="mailto:john.wright@company.com" TargetMode="External"/><Relationship Id="rId306" Type="http://schemas.openxmlformats.org/officeDocument/2006/relationships/hyperlink" Target="mailto:patricia_davis@company.com" TargetMode="External"/><Relationship Id="rId45" Type="http://schemas.openxmlformats.org/officeDocument/2006/relationships/hyperlink" Target="mailto:richard.rodriguez@company.com" TargetMode="External"/><Relationship Id="rId87" Type="http://schemas.openxmlformats.org/officeDocument/2006/relationships/hyperlink" Target="mailto:patricia.wilson@company.com" TargetMode="External"/><Relationship Id="rId110" Type="http://schemas.openxmlformats.org/officeDocument/2006/relationships/hyperlink" Target="mailto:michael.thomas@company.com" TargetMode="External"/><Relationship Id="rId348" Type="http://schemas.openxmlformats.org/officeDocument/2006/relationships/hyperlink" Target="mailto:lindamartinez@company.com" TargetMode="External"/><Relationship Id="rId152" Type="http://schemas.openxmlformats.org/officeDocument/2006/relationships/hyperlink" Target="mailto:patriciataylor@company.com" TargetMode="External"/><Relationship Id="rId194" Type="http://schemas.openxmlformats.org/officeDocument/2006/relationships/hyperlink" Target="mailto:michael.wilson@company.com" TargetMode="External"/><Relationship Id="rId208" Type="http://schemas.openxmlformats.org/officeDocument/2006/relationships/hyperlink" Target="mailto:peter.wilson@company.com" TargetMode="External"/><Relationship Id="rId415" Type="http://schemas.openxmlformats.org/officeDocument/2006/relationships/hyperlink" Target="mailto:elizabeth.miller@company.com" TargetMode="External"/><Relationship Id="rId457" Type="http://schemas.openxmlformats.org/officeDocument/2006/relationships/hyperlink" Target="mailto:james.miller@company.com" TargetMode="External"/><Relationship Id="rId261" Type="http://schemas.openxmlformats.org/officeDocument/2006/relationships/hyperlink" Target="mailto:patricia.miller@company.com" TargetMode="External"/><Relationship Id="rId14" Type="http://schemas.openxmlformats.org/officeDocument/2006/relationships/hyperlink" Target="mailto:patricia_davis@company.com" TargetMode="External"/><Relationship Id="rId56" Type="http://schemas.openxmlformats.org/officeDocument/2006/relationships/hyperlink" Target="mailto:patricia_anderson@company.com" TargetMode="External"/><Relationship Id="rId317" Type="http://schemas.openxmlformats.org/officeDocument/2006/relationships/hyperlink" Target="mailto:linda.martinez@company.com" TargetMode="External"/><Relationship Id="rId359" Type="http://schemas.openxmlformats.org/officeDocument/2006/relationships/hyperlink" Target="mailto:anna_taylor@company.com" TargetMode="External"/><Relationship Id="rId98" Type="http://schemas.openxmlformats.org/officeDocument/2006/relationships/hyperlink" Target="mailto:susanlopez@company.com" TargetMode="External"/><Relationship Id="rId121" Type="http://schemas.openxmlformats.org/officeDocument/2006/relationships/hyperlink" Target="mailto:patricia.adams@company.com" TargetMode="External"/><Relationship Id="rId163" Type="http://schemas.openxmlformats.org/officeDocument/2006/relationships/hyperlink" Target="mailto:jennifertaylor@company.com" TargetMode="External"/><Relationship Id="rId219" Type="http://schemas.openxmlformats.org/officeDocument/2006/relationships/hyperlink" Target="mailto:elizabethgarcia@company.com" TargetMode="External"/><Relationship Id="rId370" Type="http://schemas.openxmlformats.org/officeDocument/2006/relationships/hyperlink" Target="mailto:michael_smith@company.com" TargetMode="External"/><Relationship Id="rId426" Type="http://schemas.openxmlformats.org/officeDocument/2006/relationships/hyperlink" Target="mailto:michaelwright@company.com" TargetMode="External"/><Relationship Id="rId230" Type="http://schemas.openxmlformats.org/officeDocument/2006/relationships/hyperlink" Target="mailto:jennifer.rodriguez@company.com" TargetMode="External"/><Relationship Id="rId468" Type="http://schemas.openxmlformats.org/officeDocument/2006/relationships/hyperlink" Target="mailto:linda.rodriguez@company.com" TargetMode="External"/><Relationship Id="rId25" Type="http://schemas.openxmlformats.org/officeDocument/2006/relationships/hyperlink" Target="mailto:robert.garcia@company.com" TargetMode="External"/><Relationship Id="rId67" Type="http://schemas.openxmlformats.org/officeDocument/2006/relationships/hyperlink" Target="mailto:johnwilson@company.com" TargetMode="External"/><Relationship Id="rId272" Type="http://schemas.openxmlformats.org/officeDocument/2006/relationships/hyperlink" Target="mailto:susanwright@company.com" TargetMode="External"/><Relationship Id="rId328" Type="http://schemas.openxmlformats.org/officeDocument/2006/relationships/hyperlink" Target="mailto:james.anderson@company.com" TargetMode="External"/><Relationship Id="rId132" Type="http://schemas.openxmlformats.org/officeDocument/2006/relationships/hyperlink" Target="mailto:anna.lopez@company.com" TargetMode="External"/><Relationship Id="rId174" Type="http://schemas.openxmlformats.org/officeDocument/2006/relationships/hyperlink" Target="mailto:michael.anderson@company.com" TargetMode="External"/><Relationship Id="rId381" Type="http://schemas.openxmlformats.org/officeDocument/2006/relationships/hyperlink" Target="mailto:elizabeth.martinez@company.com" TargetMode="External"/><Relationship Id="rId241" Type="http://schemas.openxmlformats.org/officeDocument/2006/relationships/hyperlink" Target="mailto:susan.smith@company.com" TargetMode="External"/><Relationship Id="rId437" Type="http://schemas.openxmlformats.org/officeDocument/2006/relationships/hyperlink" Target="mailto:patriciaanderson@company.com" TargetMode="External"/><Relationship Id="rId36" Type="http://schemas.openxmlformats.org/officeDocument/2006/relationships/hyperlink" Target="mailto:susanwright@company.com" TargetMode="External"/><Relationship Id="rId283" Type="http://schemas.openxmlformats.org/officeDocument/2006/relationships/hyperlink" Target="mailto:marywilson@company.com" TargetMode="External"/><Relationship Id="rId339" Type="http://schemas.openxmlformats.org/officeDocument/2006/relationships/hyperlink" Target="mailto:susan.johnson@company.com" TargetMode="External"/><Relationship Id="rId78" Type="http://schemas.openxmlformats.org/officeDocument/2006/relationships/hyperlink" Target="mailto:petermiller@company.com" TargetMode="External"/><Relationship Id="rId101" Type="http://schemas.openxmlformats.org/officeDocument/2006/relationships/hyperlink" Target="mailto:jennifer.adams@company.com" TargetMode="External"/><Relationship Id="rId143" Type="http://schemas.openxmlformats.org/officeDocument/2006/relationships/hyperlink" Target="mailto:jennifer.adams@company.com" TargetMode="External"/><Relationship Id="rId185" Type="http://schemas.openxmlformats.org/officeDocument/2006/relationships/hyperlink" Target="mailto:robert.smith@company.com" TargetMode="External"/><Relationship Id="rId350" Type="http://schemas.openxmlformats.org/officeDocument/2006/relationships/hyperlink" Target="mailto:elizabeth.lopez@company.com" TargetMode="External"/><Relationship Id="rId406" Type="http://schemas.openxmlformats.org/officeDocument/2006/relationships/hyperlink" Target="mailto:jamesjohnson@company.com" TargetMode="External"/><Relationship Id="rId9" Type="http://schemas.openxmlformats.org/officeDocument/2006/relationships/hyperlink" Target="mailto:william.thomas@company.com" TargetMode="External"/><Relationship Id="rId210" Type="http://schemas.openxmlformats.org/officeDocument/2006/relationships/hyperlink" Target="mailto:patricia.thomas@company.com" TargetMode="External"/><Relationship Id="rId392" Type="http://schemas.openxmlformats.org/officeDocument/2006/relationships/hyperlink" Target="mailto:richard.taylor@company.com" TargetMode="External"/><Relationship Id="rId448" Type="http://schemas.openxmlformats.org/officeDocument/2006/relationships/hyperlink" Target="mailto:patricia.adams@company.com" TargetMode="External"/><Relationship Id="rId252" Type="http://schemas.openxmlformats.org/officeDocument/2006/relationships/hyperlink" Target="mailto:patriciasmith@company.com" TargetMode="External"/><Relationship Id="rId294" Type="http://schemas.openxmlformats.org/officeDocument/2006/relationships/hyperlink" Target="mailto:patricia.garcia@company.com" TargetMode="External"/><Relationship Id="rId308" Type="http://schemas.openxmlformats.org/officeDocument/2006/relationships/hyperlink" Target="mailto:anna_thomas@company.com" TargetMode="External"/><Relationship Id="rId47" Type="http://schemas.openxmlformats.org/officeDocument/2006/relationships/hyperlink" Target="mailto:peterwilson@company.com" TargetMode="External"/><Relationship Id="rId89" Type="http://schemas.openxmlformats.org/officeDocument/2006/relationships/hyperlink" Target="mailto:michael.taylor@company.com" TargetMode="External"/><Relationship Id="rId112" Type="http://schemas.openxmlformats.org/officeDocument/2006/relationships/hyperlink" Target="mailto:peter.brown@company.com" TargetMode="External"/><Relationship Id="rId154" Type="http://schemas.openxmlformats.org/officeDocument/2006/relationships/hyperlink" Target="mailto:james_garcia@company.com" TargetMode="External"/><Relationship Id="rId361" Type="http://schemas.openxmlformats.org/officeDocument/2006/relationships/hyperlink" Target="mailto:susan.rodriguez@company.com" TargetMode="External"/><Relationship Id="rId196" Type="http://schemas.openxmlformats.org/officeDocument/2006/relationships/hyperlink" Target="mailto:william.johnson@company.com" TargetMode="External"/><Relationship Id="rId417" Type="http://schemas.openxmlformats.org/officeDocument/2006/relationships/hyperlink" Target="mailto:david.taylor@company.com" TargetMode="External"/><Relationship Id="rId459" Type="http://schemas.openxmlformats.org/officeDocument/2006/relationships/hyperlink" Target="mailto:maryanderson@company.com" TargetMode="External"/><Relationship Id="rId16" Type="http://schemas.openxmlformats.org/officeDocument/2006/relationships/hyperlink" Target="mailto:david.adams@company.com" TargetMode="External"/><Relationship Id="rId221" Type="http://schemas.openxmlformats.org/officeDocument/2006/relationships/hyperlink" Target="mailto:williammartinez@company.com" TargetMode="External"/><Relationship Id="rId263" Type="http://schemas.openxmlformats.org/officeDocument/2006/relationships/hyperlink" Target="mailto:jennifer.brown@company.com" TargetMode="External"/><Relationship Id="rId319" Type="http://schemas.openxmlformats.org/officeDocument/2006/relationships/hyperlink" Target="mailto:williammiller@company.com" TargetMode="External"/><Relationship Id="rId470" Type="http://schemas.openxmlformats.org/officeDocument/2006/relationships/table" Target="../tables/table1.xml"/><Relationship Id="rId58" Type="http://schemas.openxmlformats.org/officeDocument/2006/relationships/hyperlink" Target="mailto:susan_thomas@company.com" TargetMode="External"/><Relationship Id="rId123" Type="http://schemas.openxmlformats.org/officeDocument/2006/relationships/hyperlink" Target="mailto:anna.garcia@company.com" TargetMode="External"/><Relationship Id="rId330" Type="http://schemas.openxmlformats.org/officeDocument/2006/relationships/hyperlink" Target="mailto:barbara.miller@company.com" TargetMode="External"/><Relationship Id="rId165" Type="http://schemas.openxmlformats.org/officeDocument/2006/relationships/hyperlink" Target="mailto:peteradams@company.com" TargetMode="External"/><Relationship Id="rId372" Type="http://schemas.openxmlformats.org/officeDocument/2006/relationships/hyperlink" Target="mailto:robertjohnson@company.com" TargetMode="External"/><Relationship Id="rId428" Type="http://schemas.openxmlformats.org/officeDocument/2006/relationships/hyperlink" Target="mailto:richardtaylor@company.com" TargetMode="External"/><Relationship Id="rId232" Type="http://schemas.openxmlformats.org/officeDocument/2006/relationships/hyperlink" Target="mailto:elizabeth.thomas@company.com" TargetMode="External"/><Relationship Id="rId274" Type="http://schemas.openxmlformats.org/officeDocument/2006/relationships/hyperlink" Target="mailto:williamjohnson@company.com" TargetMode="External"/><Relationship Id="rId27" Type="http://schemas.openxmlformats.org/officeDocument/2006/relationships/hyperlink" Target="mailto:william.wilson@company.com" TargetMode="External"/><Relationship Id="rId69" Type="http://schemas.openxmlformats.org/officeDocument/2006/relationships/hyperlink" Target="mailto:susan_johnson@company.com" TargetMode="External"/><Relationship Id="rId134" Type="http://schemas.openxmlformats.org/officeDocument/2006/relationships/hyperlink" Target="mailto:john.thomas@company.com" TargetMode="External"/><Relationship Id="rId80" Type="http://schemas.openxmlformats.org/officeDocument/2006/relationships/hyperlink" Target="mailto:johnadams@company.com" TargetMode="External"/><Relationship Id="rId176" Type="http://schemas.openxmlformats.org/officeDocument/2006/relationships/hyperlink" Target="mailto:richardwright@company.com" TargetMode="External"/><Relationship Id="rId341" Type="http://schemas.openxmlformats.org/officeDocument/2006/relationships/hyperlink" Target="mailto:peter.wilson@company.com" TargetMode="External"/><Relationship Id="rId383" Type="http://schemas.openxmlformats.org/officeDocument/2006/relationships/hyperlink" Target="mailto:peter.thomas@company.com" TargetMode="External"/><Relationship Id="rId439" Type="http://schemas.openxmlformats.org/officeDocument/2006/relationships/hyperlink" Target="mailto:david.miller@company.com" TargetMode="External"/><Relationship Id="rId201" Type="http://schemas.openxmlformats.org/officeDocument/2006/relationships/hyperlink" Target="mailto:elizabeth_wright@company.com" TargetMode="External"/><Relationship Id="rId243" Type="http://schemas.openxmlformats.org/officeDocument/2006/relationships/hyperlink" Target="mailto:anna.davis@company.com" TargetMode="External"/><Relationship Id="rId285" Type="http://schemas.openxmlformats.org/officeDocument/2006/relationships/hyperlink" Target="mailto:james.adams@company.com" TargetMode="External"/><Relationship Id="rId450" Type="http://schemas.openxmlformats.org/officeDocument/2006/relationships/hyperlink" Target="mailto:davidmiller@company.com" TargetMode="External"/><Relationship Id="rId38" Type="http://schemas.openxmlformats.org/officeDocument/2006/relationships/hyperlink" Target="mailto:richard.anderson@company.com" TargetMode="External"/><Relationship Id="rId103" Type="http://schemas.openxmlformats.org/officeDocument/2006/relationships/hyperlink" Target="mailto:patricia.rodriguez@company.com" TargetMode="External"/><Relationship Id="rId310" Type="http://schemas.openxmlformats.org/officeDocument/2006/relationships/hyperlink" Target="mailto:jennifer.anderson@company.com" TargetMode="External"/><Relationship Id="rId91" Type="http://schemas.openxmlformats.org/officeDocument/2006/relationships/hyperlink" Target="mailto:patricia_brown@company.com" TargetMode="External"/><Relationship Id="rId145" Type="http://schemas.openxmlformats.org/officeDocument/2006/relationships/hyperlink" Target="mailto:lindamiller@company.com" TargetMode="External"/><Relationship Id="rId187" Type="http://schemas.openxmlformats.org/officeDocument/2006/relationships/hyperlink" Target="mailto:jennifer.taylor@company.com" TargetMode="External"/><Relationship Id="rId352" Type="http://schemas.openxmlformats.org/officeDocument/2006/relationships/hyperlink" Target="mailto:linda_miller@company.com" TargetMode="External"/><Relationship Id="rId394" Type="http://schemas.openxmlformats.org/officeDocument/2006/relationships/hyperlink" Target="mailto:williamgarcia@company.com" TargetMode="External"/><Relationship Id="rId408" Type="http://schemas.openxmlformats.org/officeDocument/2006/relationships/hyperlink" Target="mailto:william.garcia@company.com" TargetMode="External"/><Relationship Id="rId212" Type="http://schemas.openxmlformats.org/officeDocument/2006/relationships/hyperlink" Target="mailto:maryrodriguez@company.com" TargetMode="External"/><Relationship Id="rId254" Type="http://schemas.openxmlformats.org/officeDocument/2006/relationships/hyperlink" Target="mailto:susan.wright@company.com" TargetMode="External"/><Relationship Id="rId49" Type="http://schemas.openxmlformats.org/officeDocument/2006/relationships/hyperlink" Target="mailto:michael.wright@company.com" TargetMode="External"/><Relationship Id="rId114" Type="http://schemas.openxmlformats.org/officeDocument/2006/relationships/hyperlink" Target="mailto:mary.johnson@company.com" TargetMode="External"/><Relationship Id="rId296" Type="http://schemas.openxmlformats.org/officeDocument/2006/relationships/hyperlink" Target="mailto:michael_wilson@company.com" TargetMode="External"/><Relationship Id="rId461" Type="http://schemas.openxmlformats.org/officeDocument/2006/relationships/hyperlink" Target="mailto:jenniferrodriguez@company.com" TargetMode="External"/><Relationship Id="rId60" Type="http://schemas.openxmlformats.org/officeDocument/2006/relationships/hyperlink" Target="mailto:peter.miller@company.com" TargetMode="External"/><Relationship Id="rId156" Type="http://schemas.openxmlformats.org/officeDocument/2006/relationships/hyperlink" Target="mailto:anna.martinez@company.com" TargetMode="External"/><Relationship Id="rId198" Type="http://schemas.openxmlformats.org/officeDocument/2006/relationships/hyperlink" Target="mailto:peter.lopez@company.com" TargetMode="External"/><Relationship Id="rId321" Type="http://schemas.openxmlformats.org/officeDocument/2006/relationships/hyperlink" Target="mailto:john_brown@company.com" TargetMode="External"/><Relationship Id="rId363" Type="http://schemas.openxmlformats.org/officeDocument/2006/relationships/hyperlink" Target="mailto:anna.thomas@company.com" TargetMode="External"/><Relationship Id="rId419" Type="http://schemas.openxmlformats.org/officeDocument/2006/relationships/hyperlink" Target="mailto:annataylor@company.com" TargetMode="External"/><Relationship Id="rId223" Type="http://schemas.openxmlformats.org/officeDocument/2006/relationships/hyperlink" Target="mailto:anna.adams@company.com" TargetMode="External"/><Relationship Id="rId430" Type="http://schemas.openxmlformats.org/officeDocument/2006/relationships/hyperlink" Target="mailto:richardadams@company.com" TargetMode="External"/><Relationship Id="rId18" Type="http://schemas.openxmlformats.org/officeDocument/2006/relationships/hyperlink" Target="mailto:mary.garcia@company.com" TargetMode="External"/><Relationship Id="rId265" Type="http://schemas.openxmlformats.org/officeDocument/2006/relationships/hyperlink" Target="mailto:james_johnson@company.com" TargetMode="External"/><Relationship Id="rId472" Type="http://schemas.openxmlformats.org/officeDocument/2006/relationships/table" Target="../tables/table3.xml"/><Relationship Id="rId125" Type="http://schemas.openxmlformats.org/officeDocument/2006/relationships/hyperlink" Target="mailto:james.adams@company.com" TargetMode="External"/><Relationship Id="rId167" Type="http://schemas.openxmlformats.org/officeDocument/2006/relationships/hyperlink" Target="mailto:michaelbrown@company.com" TargetMode="External"/><Relationship Id="rId332" Type="http://schemas.openxmlformats.org/officeDocument/2006/relationships/hyperlink" Target="mailto:susanwright@company.com" TargetMode="External"/><Relationship Id="rId374" Type="http://schemas.openxmlformats.org/officeDocument/2006/relationships/hyperlink" Target="mailto:susan.wright@company.com" TargetMode="External"/><Relationship Id="rId71" Type="http://schemas.openxmlformats.org/officeDocument/2006/relationships/hyperlink" Target="mailto:william.martinez@company.com" TargetMode="External"/><Relationship Id="rId234" Type="http://schemas.openxmlformats.org/officeDocument/2006/relationships/hyperlink" Target="mailto:jamesthomas@company.com" TargetMode="External"/><Relationship Id="rId2" Type="http://schemas.openxmlformats.org/officeDocument/2006/relationships/hyperlink" Target="mailto:elizabethmiller@company.com" TargetMode="External"/><Relationship Id="rId29" Type="http://schemas.openxmlformats.org/officeDocument/2006/relationships/hyperlink" Target="mailto:william.davis@company.com" TargetMode="External"/><Relationship Id="rId276" Type="http://schemas.openxmlformats.org/officeDocument/2006/relationships/hyperlink" Target="mailto:richard.rodriguez@company.com" TargetMode="External"/><Relationship Id="rId441" Type="http://schemas.openxmlformats.org/officeDocument/2006/relationships/hyperlink" Target="mailto:john_davis@company.com" TargetMode="External"/><Relationship Id="rId40" Type="http://schemas.openxmlformats.org/officeDocument/2006/relationships/hyperlink" Target="mailto:jennifer.wright@company.com" TargetMode="External"/><Relationship Id="rId136" Type="http://schemas.openxmlformats.org/officeDocument/2006/relationships/hyperlink" Target="mailto:william.johnson@company.com" TargetMode="External"/><Relationship Id="rId178" Type="http://schemas.openxmlformats.org/officeDocument/2006/relationships/hyperlink" Target="mailto:patricia_martinez@company.com" TargetMode="External"/><Relationship Id="rId301" Type="http://schemas.openxmlformats.org/officeDocument/2006/relationships/hyperlink" Target="mailto:john.thomas@company.com" TargetMode="External"/><Relationship Id="rId343" Type="http://schemas.openxmlformats.org/officeDocument/2006/relationships/hyperlink" Target="mailto:richardmartinez@company.com" TargetMode="External"/><Relationship Id="rId82" Type="http://schemas.openxmlformats.org/officeDocument/2006/relationships/hyperlink" Target="mailto:anna_adams@company.com" TargetMode="External"/><Relationship Id="rId203" Type="http://schemas.openxmlformats.org/officeDocument/2006/relationships/hyperlink" Target="mailto:susandavis@company.com" TargetMode="External"/><Relationship Id="rId385" Type="http://schemas.openxmlformats.org/officeDocument/2006/relationships/hyperlink" Target="mailto:roberttaylor@company.com" TargetMode="External"/><Relationship Id="rId19" Type="http://schemas.openxmlformats.org/officeDocument/2006/relationships/hyperlink" Target="mailto:jamesbrown@company.com" TargetMode="External"/><Relationship Id="rId224" Type="http://schemas.openxmlformats.org/officeDocument/2006/relationships/hyperlink" Target="mailto:richardadams@company.com" TargetMode="External"/><Relationship Id="rId245" Type="http://schemas.openxmlformats.org/officeDocument/2006/relationships/hyperlink" Target="mailto:william.wilson@company.com" TargetMode="External"/><Relationship Id="rId266" Type="http://schemas.openxmlformats.org/officeDocument/2006/relationships/hyperlink" Target="mailto:michael_johnson@company.com" TargetMode="External"/><Relationship Id="rId287" Type="http://schemas.openxmlformats.org/officeDocument/2006/relationships/hyperlink" Target="mailto:mary_davis@company.com" TargetMode="External"/><Relationship Id="rId410" Type="http://schemas.openxmlformats.org/officeDocument/2006/relationships/hyperlink" Target="mailto:william.rodriguez@company.com" TargetMode="External"/><Relationship Id="rId431" Type="http://schemas.openxmlformats.org/officeDocument/2006/relationships/hyperlink" Target="mailto:james_thomas@company.com" TargetMode="External"/><Relationship Id="rId452" Type="http://schemas.openxmlformats.org/officeDocument/2006/relationships/hyperlink" Target="mailto:patricia.taylor@company.com" TargetMode="External"/><Relationship Id="rId30" Type="http://schemas.openxmlformats.org/officeDocument/2006/relationships/hyperlink" Target="mailto:elizabethanderson@company.com" TargetMode="External"/><Relationship Id="rId105" Type="http://schemas.openxmlformats.org/officeDocument/2006/relationships/hyperlink" Target="mailto:robert.thomas@company.com" TargetMode="External"/><Relationship Id="rId126" Type="http://schemas.openxmlformats.org/officeDocument/2006/relationships/hyperlink" Target="mailto:david.johnson@company.com" TargetMode="External"/><Relationship Id="rId147" Type="http://schemas.openxmlformats.org/officeDocument/2006/relationships/hyperlink" Target="mailto:michael_adams@company.com" TargetMode="External"/><Relationship Id="rId168" Type="http://schemas.openxmlformats.org/officeDocument/2006/relationships/hyperlink" Target="mailto:barbara.wilson@company.com" TargetMode="External"/><Relationship Id="rId312" Type="http://schemas.openxmlformats.org/officeDocument/2006/relationships/hyperlink" Target="mailto:williamgarcia@company.com" TargetMode="External"/><Relationship Id="rId333" Type="http://schemas.openxmlformats.org/officeDocument/2006/relationships/hyperlink" Target="mailto:richard.wright@company.com" TargetMode="External"/><Relationship Id="rId354" Type="http://schemas.openxmlformats.org/officeDocument/2006/relationships/hyperlink" Target="mailto:lindamiller@company.com" TargetMode="External"/><Relationship Id="rId51" Type="http://schemas.openxmlformats.org/officeDocument/2006/relationships/hyperlink" Target="mailto:barbara_brown@company.com" TargetMode="External"/><Relationship Id="rId72" Type="http://schemas.openxmlformats.org/officeDocument/2006/relationships/hyperlink" Target="mailto:patricia.adams@company.com" TargetMode="External"/><Relationship Id="rId93" Type="http://schemas.openxmlformats.org/officeDocument/2006/relationships/hyperlink" Target="mailto:mary_johnson@company.com" TargetMode="External"/><Relationship Id="rId189" Type="http://schemas.openxmlformats.org/officeDocument/2006/relationships/hyperlink" Target="mailto:anna.miller@company.com" TargetMode="External"/><Relationship Id="rId375" Type="http://schemas.openxmlformats.org/officeDocument/2006/relationships/hyperlink" Target="mailto:michaelthomas@company.com" TargetMode="External"/><Relationship Id="rId396" Type="http://schemas.openxmlformats.org/officeDocument/2006/relationships/hyperlink" Target="mailto:susan.martinez@company.com" TargetMode="External"/><Relationship Id="rId3" Type="http://schemas.openxmlformats.org/officeDocument/2006/relationships/hyperlink" Target="mailto:elizabeth_wright@company.com" TargetMode="External"/><Relationship Id="rId214" Type="http://schemas.openxmlformats.org/officeDocument/2006/relationships/hyperlink" Target="mailto:william.johnson@company.com" TargetMode="External"/><Relationship Id="rId235" Type="http://schemas.openxmlformats.org/officeDocument/2006/relationships/hyperlink" Target="mailto:david.thomas@company.com" TargetMode="External"/><Relationship Id="rId256" Type="http://schemas.openxmlformats.org/officeDocument/2006/relationships/hyperlink" Target="mailto:william.garcia@company.com" TargetMode="External"/><Relationship Id="rId277" Type="http://schemas.openxmlformats.org/officeDocument/2006/relationships/hyperlink" Target="mailto:jenniferrodriguez@company.com" TargetMode="External"/><Relationship Id="rId298" Type="http://schemas.openxmlformats.org/officeDocument/2006/relationships/hyperlink" Target="mailto:mary.lopez@company.com" TargetMode="External"/><Relationship Id="rId400" Type="http://schemas.openxmlformats.org/officeDocument/2006/relationships/hyperlink" Target="mailto:robert_lopez@company.com" TargetMode="External"/><Relationship Id="rId421" Type="http://schemas.openxmlformats.org/officeDocument/2006/relationships/hyperlink" Target="mailto:linda.wright@company.com" TargetMode="External"/><Relationship Id="rId442" Type="http://schemas.openxmlformats.org/officeDocument/2006/relationships/hyperlink" Target="mailto:john.brown@company.com" TargetMode="External"/><Relationship Id="rId463" Type="http://schemas.openxmlformats.org/officeDocument/2006/relationships/hyperlink" Target="mailto:peter.garcia@company.com" TargetMode="External"/><Relationship Id="rId116" Type="http://schemas.openxmlformats.org/officeDocument/2006/relationships/hyperlink" Target="mailto:williambrown@company.com" TargetMode="External"/><Relationship Id="rId137" Type="http://schemas.openxmlformats.org/officeDocument/2006/relationships/hyperlink" Target="mailto:michael.anderson@company.com" TargetMode="External"/><Relationship Id="rId158" Type="http://schemas.openxmlformats.org/officeDocument/2006/relationships/hyperlink" Target="mailto:peter_brown@company.com" TargetMode="External"/><Relationship Id="rId302" Type="http://schemas.openxmlformats.org/officeDocument/2006/relationships/hyperlink" Target="mailto:james.miller@company.com" TargetMode="External"/><Relationship Id="rId323" Type="http://schemas.openxmlformats.org/officeDocument/2006/relationships/hyperlink" Target="mailto:annathomas@company.com" TargetMode="External"/><Relationship Id="rId344" Type="http://schemas.openxmlformats.org/officeDocument/2006/relationships/hyperlink" Target="mailto:johnmiller@company.com" TargetMode="External"/><Relationship Id="rId20" Type="http://schemas.openxmlformats.org/officeDocument/2006/relationships/hyperlink" Target="mailto:susan.wright@company.com" TargetMode="External"/><Relationship Id="rId41" Type="http://schemas.openxmlformats.org/officeDocument/2006/relationships/hyperlink" Target="mailto:william.martinez@company.com" TargetMode="External"/><Relationship Id="rId62" Type="http://schemas.openxmlformats.org/officeDocument/2006/relationships/hyperlink" Target="mailto:john_lopez@company.com" TargetMode="External"/><Relationship Id="rId83" Type="http://schemas.openxmlformats.org/officeDocument/2006/relationships/hyperlink" Target="mailto:william.wilson@company.com" TargetMode="External"/><Relationship Id="rId179" Type="http://schemas.openxmlformats.org/officeDocument/2006/relationships/hyperlink" Target="mailto:patricia.garcia@company.com" TargetMode="External"/><Relationship Id="rId365" Type="http://schemas.openxmlformats.org/officeDocument/2006/relationships/hyperlink" Target="mailto:jamesmartinez@company.com" TargetMode="External"/><Relationship Id="rId386" Type="http://schemas.openxmlformats.org/officeDocument/2006/relationships/hyperlink" Target="mailto:michaeldavis@company.com" TargetMode="External"/><Relationship Id="rId190" Type="http://schemas.openxmlformats.org/officeDocument/2006/relationships/hyperlink" Target="mailto:john_johnson@company.com" TargetMode="External"/><Relationship Id="rId204" Type="http://schemas.openxmlformats.org/officeDocument/2006/relationships/hyperlink" Target="mailto:peterwilson@company.com" TargetMode="External"/><Relationship Id="rId225" Type="http://schemas.openxmlformats.org/officeDocument/2006/relationships/hyperlink" Target="mailto:marywright@company.com" TargetMode="External"/><Relationship Id="rId246" Type="http://schemas.openxmlformats.org/officeDocument/2006/relationships/hyperlink" Target="mailto:barbara.adams@company.com" TargetMode="External"/><Relationship Id="rId267" Type="http://schemas.openxmlformats.org/officeDocument/2006/relationships/hyperlink" Target="mailto:david.lopez@company.com" TargetMode="External"/><Relationship Id="rId288" Type="http://schemas.openxmlformats.org/officeDocument/2006/relationships/hyperlink" Target="mailto:davidwright@company.com" TargetMode="External"/><Relationship Id="rId411" Type="http://schemas.openxmlformats.org/officeDocument/2006/relationships/hyperlink" Target="mailto:david.lopez@company.com" TargetMode="External"/><Relationship Id="rId432" Type="http://schemas.openxmlformats.org/officeDocument/2006/relationships/hyperlink" Target="mailto:linda_johnson@company.com" TargetMode="External"/><Relationship Id="rId453" Type="http://schemas.openxmlformats.org/officeDocument/2006/relationships/hyperlink" Target="mailto:jenniferrodriguez@company.com" TargetMode="External"/><Relationship Id="rId106" Type="http://schemas.openxmlformats.org/officeDocument/2006/relationships/hyperlink" Target="mailto:robert.miller@company.com" TargetMode="External"/><Relationship Id="rId127" Type="http://schemas.openxmlformats.org/officeDocument/2006/relationships/hyperlink" Target="mailto:michael.miller@company.com" TargetMode="External"/><Relationship Id="rId313" Type="http://schemas.openxmlformats.org/officeDocument/2006/relationships/hyperlink" Target="mailto:peter_lopez@company.com" TargetMode="External"/><Relationship Id="rId10" Type="http://schemas.openxmlformats.org/officeDocument/2006/relationships/hyperlink" Target="mailto:elizabeth_wilson@company.com" TargetMode="External"/><Relationship Id="rId31" Type="http://schemas.openxmlformats.org/officeDocument/2006/relationships/hyperlink" Target="mailto:peter.martinez@company.com" TargetMode="External"/><Relationship Id="rId52" Type="http://schemas.openxmlformats.org/officeDocument/2006/relationships/hyperlink" Target="mailto:michael.thomas@company.com" TargetMode="External"/><Relationship Id="rId73" Type="http://schemas.openxmlformats.org/officeDocument/2006/relationships/hyperlink" Target="mailto:william.martinez@company.com" TargetMode="External"/><Relationship Id="rId94" Type="http://schemas.openxmlformats.org/officeDocument/2006/relationships/hyperlink" Target="mailto:barbarawright@company.com" TargetMode="External"/><Relationship Id="rId148" Type="http://schemas.openxmlformats.org/officeDocument/2006/relationships/hyperlink" Target="mailto:linda.adams@company.com" TargetMode="External"/><Relationship Id="rId169" Type="http://schemas.openxmlformats.org/officeDocument/2006/relationships/hyperlink" Target="mailto:susan.martinez@company.com" TargetMode="External"/><Relationship Id="rId334" Type="http://schemas.openxmlformats.org/officeDocument/2006/relationships/hyperlink" Target="mailto:david.wilson@company.com" TargetMode="External"/><Relationship Id="rId355" Type="http://schemas.openxmlformats.org/officeDocument/2006/relationships/hyperlink" Target="mailto:petersmith@company.com" TargetMode="External"/><Relationship Id="rId376" Type="http://schemas.openxmlformats.org/officeDocument/2006/relationships/hyperlink" Target="mailto:robert.brown@company.com" TargetMode="External"/><Relationship Id="rId397" Type="http://schemas.openxmlformats.org/officeDocument/2006/relationships/hyperlink" Target="mailto:william.wright@company.com" TargetMode="External"/><Relationship Id="rId4" Type="http://schemas.openxmlformats.org/officeDocument/2006/relationships/hyperlink" Target="mailto:james.wilson@company.com" TargetMode="External"/><Relationship Id="rId180" Type="http://schemas.openxmlformats.org/officeDocument/2006/relationships/hyperlink" Target="mailto:james_lopez@company.com" TargetMode="External"/><Relationship Id="rId215" Type="http://schemas.openxmlformats.org/officeDocument/2006/relationships/hyperlink" Target="mailto:michael_anderson@company.com" TargetMode="External"/><Relationship Id="rId236" Type="http://schemas.openxmlformats.org/officeDocument/2006/relationships/hyperlink" Target="mailto:barbara.johnson@company.com" TargetMode="External"/><Relationship Id="rId257" Type="http://schemas.openxmlformats.org/officeDocument/2006/relationships/hyperlink" Target="mailto:david.rodriguez@company.com" TargetMode="External"/><Relationship Id="rId278" Type="http://schemas.openxmlformats.org/officeDocument/2006/relationships/hyperlink" Target="mailto:susanrodriguez@company.com" TargetMode="External"/><Relationship Id="rId401" Type="http://schemas.openxmlformats.org/officeDocument/2006/relationships/hyperlink" Target="mailto:susansmith@company.com" TargetMode="External"/><Relationship Id="rId422" Type="http://schemas.openxmlformats.org/officeDocument/2006/relationships/hyperlink" Target="mailto:barbaralopez@company.com" TargetMode="External"/><Relationship Id="rId443" Type="http://schemas.openxmlformats.org/officeDocument/2006/relationships/hyperlink" Target="mailto:peter.davis@company.com" TargetMode="External"/><Relationship Id="rId464" Type="http://schemas.openxmlformats.org/officeDocument/2006/relationships/hyperlink" Target="mailto:barbara.martinez@company.com" TargetMode="External"/><Relationship Id="rId303" Type="http://schemas.openxmlformats.org/officeDocument/2006/relationships/hyperlink" Target="mailto:robertadams@company.com" TargetMode="External"/><Relationship Id="rId42" Type="http://schemas.openxmlformats.org/officeDocument/2006/relationships/hyperlink" Target="mailto:barbara.martinez@company.com" TargetMode="External"/><Relationship Id="rId84" Type="http://schemas.openxmlformats.org/officeDocument/2006/relationships/hyperlink" Target="mailto:williammartinez@company.com" TargetMode="External"/><Relationship Id="rId138" Type="http://schemas.openxmlformats.org/officeDocument/2006/relationships/hyperlink" Target="mailto:david_garcia@company.com" TargetMode="External"/><Relationship Id="rId345" Type="http://schemas.openxmlformats.org/officeDocument/2006/relationships/hyperlink" Target="mailto:williamgarcia@company.com" TargetMode="External"/><Relationship Id="rId387" Type="http://schemas.openxmlformats.org/officeDocument/2006/relationships/hyperlink" Target="mailto:linda.johnson@company.com" TargetMode="External"/><Relationship Id="rId191" Type="http://schemas.openxmlformats.org/officeDocument/2006/relationships/hyperlink" Target="mailto:johnadams@company.com" TargetMode="External"/><Relationship Id="rId205" Type="http://schemas.openxmlformats.org/officeDocument/2006/relationships/hyperlink" Target="mailto:richard.rodriguez@company.com" TargetMode="External"/><Relationship Id="rId247" Type="http://schemas.openxmlformats.org/officeDocument/2006/relationships/hyperlink" Target="mailto:jamesbrown@company.com" TargetMode="External"/><Relationship Id="rId412" Type="http://schemas.openxmlformats.org/officeDocument/2006/relationships/hyperlink" Target="mailto:jamesrodriguez@company.com" TargetMode="External"/><Relationship Id="rId107" Type="http://schemas.openxmlformats.org/officeDocument/2006/relationships/hyperlink" Target="mailto:mary.miller@company.com" TargetMode="External"/><Relationship Id="rId289" Type="http://schemas.openxmlformats.org/officeDocument/2006/relationships/hyperlink" Target="mailto:annawilson@company.com" TargetMode="External"/><Relationship Id="rId454" Type="http://schemas.openxmlformats.org/officeDocument/2006/relationships/hyperlink" Target="mailto:annamiller@company.com" TargetMode="External"/><Relationship Id="rId11" Type="http://schemas.openxmlformats.org/officeDocument/2006/relationships/hyperlink" Target="mailto:susangarcia@company.com" TargetMode="External"/><Relationship Id="rId53" Type="http://schemas.openxmlformats.org/officeDocument/2006/relationships/hyperlink" Target="mailto:mary.miller@company.com" TargetMode="External"/><Relationship Id="rId149" Type="http://schemas.openxmlformats.org/officeDocument/2006/relationships/hyperlink" Target="mailto:barbara.anderson@company.com" TargetMode="External"/><Relationship Id="rId314" Type="http://schemas.openxmlformats.org/officeDocument/2006/relationships/hyperlink" Target="mailto:peter.miller@company.com" TargetMode="External"/><Relationship Id="rId356" Type="http://schemas.openxmlformats.org/officeDocument/2006/relationships/hyperlink" Target="mailto:william.rodriguez@company.com" TargetMode="External"/><Relationship Id="rId398" Type="http://schemas.openxmlformats.org/officeDocument/2006/relationships/hyperlink" Target="mailto:william.garcia@company.com" TargetMode="External"/><Relationship Id="rId95" Type="http://schemas.openxmlformats.org/officeDocument/2006/relationships/hyperlink" Target="mailto:david.miller@company.com" TargetMode="External"/><Relationship Id="rId160" Type="http://schemas.openxmlformats.org/officeDocument/2006/relationships/hyperlink" Target="mailto:mary.johnson@company.com" TargetMode="External"/><Relationship Id="rId216" Type="http://schemas.openxmlformats.org/officeDocument/2006/relationships/hyperlink" Target="mailto:james_taylor@company.com" TargetMode="External"/><Relationship Id="rId423" Type="http://schemas.openxmlformats.org/officeDocument/2006/relationships/hyperlink" Target="mailto:william_brown@company.com" TargetMode="External"/><Relationship Id="rId258" Type="http://schemas.openxmlformats.org/officeDocument/2006/relationships/hyperlink" Target="mailto:elizabeth.thomas@company.com" TargetMode="External"/><Relationship Id="rId465" Type="http://schemas.openxmlformats.org/officeDocument/2006/relationships/hyperlink" Target="mailto:mary.wilson@company.com" TargetMode="External"/><Relationship Id="rId22" Type="http://schemas.openxmlformats.org/officeDocument/2006/relationships/hyperlink" Target="mailto:barbara_anderson@company.com" TargetMode="External"/><Relationship Id="rId64" Type="http://schemas.openxmlformats.org/officeDocument/2006/relationships/hyperlink" Target="mailto:marytaylor@company.com" TargetMode="External"/><Relationship Id="rId118" Type="http://schemas.openxmlformats.org/officeDocument/2006/relationships/hyperlink" Target="mailto:robert.miller@company.com" TargetMode="External"/><Relationship Id="rId325" Type="http://schemas.openxmlformats.org/officeDocument/2006/relationships/hyperlink" Target="mailto:james_taylor@company.com" TargetMode="External"/><Relationship Id="rId367" Type="http://schemas.openxmlformats.org/officeDocument/2006/relationships/hyperlink" Target="mailto:mary.taylor@company.com" TargetMode="External"/><Relationship Id="rId171" Type="http://schemas.openxmlformats.org/officeDocument/2006/relationships/hyperlink" Target="mailto:jennifer.lopez@company.com" TargetMode="External"/><Relationship Id="rId227" Type="http://schemas.openxmlformats.org/officeDocument/2006/relationships/hyperlink" Target="mailto:michael_lopez@company.com" TargetMode="External"/><Relationship Id="rId269" Type="http://schemas.openxmlformats.org/officeDocument/2006/relationships/hyperlink" Target="mailto:johnjohnson@company.com" TargetMode="External"/><Relationship Id="rId434" Type="http://schemas.openxmlformats.org/officeDocument/2006/relationships/hyperlink" Target="mailto:michael.thomas@company.com" TargetMode="External"/><Relationship Id="rId33" Type="http://schemas.openxmlformats.org/officeDocument/2006/relationships/hyperlink" Target="mailto:robert.lopez@company.com" TargetMode="External"/><Relationship Id="rId129" Type="http://schemas.openxmlformats.org/officeDocument/2006/relationships/hyperlink" Target="mailto:jennifer_wright@company.com" TargetMode="External"/><Relationship Id="rId280" Type="http://schemas.openxmlformats.org/officeDocument/2006/relationships/hyperlink" Target="mailto:david_taylor@company.com" TargetMode="External"/><Relationship Id="rId336" Type="http://schemas.openxmlformats.org/officeDocument/2006/relationships/hyperlink" Target="mailto:anna.miller@company.com" TargetMode="External"/><Relationship Id="rId75" Type="http://schemas.openxmlformats.org/officeDocument/2006/relationships/hyperlink" Target="mailto:richard.lopez@company.com" TargetMode="External"/><Relationship Id="rId140" Type="http://schemas.openxmlformats.org/officeDocument/2006/relationships/hyperlink" Target="mailto:jennifer_garcia@company.com" TargetMode="External"/><Relationship Id="rId182" Type="http://schemas.openxmlformats.org/officeDocument/2006/relationships/hyperlink" Target="mailto:robertadams@company.com" TargetMode="External"/><Relationship Id="rId378" Type="http://schemas.openxmlformats.org/officeDocument/2006/relationships/hyperlink" Target="mailto:michael_miller@company.com" TargetMode="External"/><Relationship Id="rId403" Type="http://schemas.openxmlformats.org/officeDocument/2006/relationships/hyperlink" Target="mailto:mary_thomas@company.com" TargetMode="External"/><Relationship Id="rId6" Type="http://schemas.openxmlformats.org/officeDocument/2006/relationships/hyperlink" Target="mailto:james.anderson@company.com" TargetMode="External"/><Relationship Id="rId238" Type="http://schemas.openxmlformats.org/officeDocument/2006/relationships/hyperlink" Target="mailto:susan_adams@company.com" TargetMode="External"/><Relationship Id="rId445" Type="http://schemas.openxmlformats.org/officeDocument/2006/relationships/hyperlink" Target="mailto:anna_wilson@company.com" TargetMode="External"/><Relationship Id="rId291" Type="http://schemas.openxmlformats.org/officeDocument/2006/relationships/hyperlink" Target="mailto:robertsmith@company.com" TargetMode="External"/><Relationship Id="rId305" Type="http://schemas.openxmlformats.org/officeDocument/2006/relationships/hyperlink" Target="mailto:david_miller@company.com" TargetMode="External"/><Relationship Id="rId347" Type="http://schemas.openxmlformats.org/officeDocument/2006/relationships/hyperlink" Target="mailto:michael.lopez@company.com" TargetMode="External"/><Relationship Id="rId44" Type="http://schemas.openxmlformats.org/officeDocument/2006/relationships/hyperlink" Target="mailto:peterrodriguez@company.com" TargetMode="External"/><Relationship Id="rId86" Type="http://schemas.openxmlformats.org/officeDocument/2006/relationships/hyperlink" Target="mailto:michael.smith@company.com" TargetMode="External"/><Relationship Id="rId151" Type="http://schemas.openxmlformats.org/officeDocument/2006/relationships/hyperlink" Target="mailto:richard_thomas@company.com" TargetMode="External"/><Relationship Id="rId389" Type="http://schemas.openxmlformats.org/officeDocument/2006/relationships/hyperlink" Target="mailto:lindarodriguez@company.com" TargetMode="External"/><Relationship Id="rId193" Type="http://schemas.openxmlformats.org/officeDocument/2006/relationships/hyperlink" Target="mailto:jennifer.johnson@company.com" TargetMode="External"/><Relationship Id="rId207" Type="http://schemas.openxmlformats.org/officeDocument/2006/relationships/hyperlink" Target="mailto:davidjohnson@company.com" TargetMode="External"/><Relationship Id="rId249" Type="http://schemas.openxmlformats.org/officeDocument/2006/relationships/hyperlink" Target="mailto:william.martinez@company.com" TargetMode="External"/><Relationship Id="rId414" Type="http://schemas.openxmlformats.org/officeDocument/2006/relationships/hyperlink" Target="mailto:williamlopez@company.com" TargetMode="External"/><Relationship Id="rId456" Type="http://schemas.openxmlformats.org/officeDocument/2006/relationships/hyperlink" Target="mailto:robert.smith@company.com" TargetMode="External"/><Relationship Id="rId13" Type="http://schemas.openxmlformats.org/officeDocument/2006/relationships/hyperlink" Target="mailto:james_brown@company.com" TargetMode="External"/><Relationship Id="rId109" Type="http://schemas.openxmlformats.org/officeDocument/2006/relationships/hyperlink" Target="mailto:susanwright@company.com" TargetMode="External"/><Relationship Id="rId260" Type="http://schemas.openxmlformats.org/officeDocument/2006/relationships/hyperlink" Target="mailto:richard_johnson@company.com" TargetMode="External"/><Relationship Id="rId316" Type="http://schemas.openxmlformats.org/officeDocument/2006/relationships/hyperlink" Target="mailto:richard.adams@company.com" TargetMode="External"/><Relationship Id="rId55" Type="http://schemas.openxmlformats.org/officeDocument/2006/relationships/hyperlink" Target="mailto:annagarcia@company.com" TargetMode="External"/><Relationship Id="rId97" Type="http://schemas.openxmlformats.org/officeDocument/2006/relationships/hyperlink" Target="mailto:elizabethbrown@company.com" TargetMode="External"/><Relationship Id="rId120" Type="http://schemas.openxmlformats.org/officeDocument/2006/relationships/hyperlink" Target="mailto:anna.rodriguez@company.com" TargetMode="External"/><Relationship Id="rId358" Type="http://schemas.openxmlformats.org/officeDocument/2006/relationships/hyperlink" Target="mailto:robert.brown@company.com" TargetMode="External"/><Relationship Id="rId162" Type="http://schemas.openxmlformats.org/officeDocument/2006/relationships/hyperlink" Target="mailto:john_wilson@company.com" TargetMode="External"/><Relationship Id="rId218" Type="http://schemas.openxmlformats.org/officeDocument/2006/relationships/hyperlink" Target="mailto:mary.thomas@company.com" TargetMode="External"/><Relationship Id="rId425" Type="http://schemas.openxmlformats.org/officeDocument/2006/relationships/hyperlink" Target="mailto:johntaylor@company.com" TargetMode="External"/><Relationship Id="rId467" Type="http://schemas.openxmlformats.org/officeDocument/2006/relationships/hyperlink" Target="mailto:michaeldavis@company.com" TargetMode="External"/><Relationship Id="rId271" Type="http://schemas.openxmlformats.org/officeDocument/2006/relationships/hyperlink" Target="mailto:jennifer.smith@company.com" TargetMode="External"/><Relationship Id="rId24" Type="http://schemas.openxmlformats.org/officeDocument/2006/relationships/hyperlink" Target="mailto:elizabethbrown@company.com" TargetMode="External"/><Relationship Id="rId66" Type="http://schemas.openxmlformats.org/officeDocument/2006/relationships/hyperlink" Target="mailto:elizabeth.martinez@company.com" TargetMode="External"/><Relationship Id="rId131" Type="http://schemas.openxmlformats.org/officeDocument/2006/relationships/hyperlink" Target="mailto:john.wright@company.com" TargetMode="External"/><Relationship Id="rId327" Type="http://schemas.openxmlformats.org/officeDocument/2006/relationships/hyperlink" Target="mailto:jennifer.davis@company.com" TargetMode="External"/><Relationship Id="rId369" Type="http://schemas.openxmlformats.org/officeDocument/2006/relationships/hyperlink" Target="mailto:elizabeth.anderson@company.com" TargetMode="External"/><Relationship Id="rId173" Type="http://schemas.openxmlformats.org/officeDocument/2006/relationships/hyperlink" Target="mailto:patricia_martinez@company.com" TargetMode="External"/><Relationship Id="rId229" Type="http://schemas.openxmlformats.org/officeDocument/2006/relationships/hyperlink" Target="mailto:susan.johnson@company.com" TargetMode="External"/><Relationship Id="rId380" Type="http://schemas.openxmlformats.org/officeDocument/2006/relationships/hyperlink" Target="mailto:robertjohnson@company.com" TargetMode="External"/><Relationship Id="rId436" Type="http://schemas.openxmlformats.org/officeDocument/2006/relationships/hyperlink" Target="mailto:michael.anderson@company.com" TargetMode="External"/><Relationship Id="rId240" Type="http://schemas.openxmlformats.org/officeDocument/2006/relationships/hyperlink" Target="mailto:james.smith@company.com" TargetMode="External"/><Relationship Id="rId35" Type="http://schemas.openxmlformats.org/officeDocument/2006/relationships/hyperlink" Target="mailto:richard.wilson@company.com" TargetMode="External"/><Relationship Id="rId77" Type="http://schemas.openxmlformats.org/officeDocument/2006/relationships/hyperlink" Target="mailto:susan_rodriguez@company.com" TargetMode="External"/><Relationship Id="rId100" Type="http://schemas.openxmlformats.org/officeDocument/2006/relationships/hyperlink" Target="mailto:davidlopez@company.com" TargetMode="External"/><Relationship Id="rId282" Type="http://schemas.openxmlformats.org/officeDocument/2006/relationships/hyperlink" Target="mailto:roberttaylor@company.com" TargetMode="External"/><Relationship Id="rId338" Type="http://schemas.openxmlformats.org/officeDocument/2006/relationships/hyperlink" Target="mailto:barbara.lopez@company.com" TargetMode="External"/><Relationship Id="rId8" Type="http://schemas.openxmlformats.org/officeDocument/2006/relationships/hyperlink" Target="mailto:patricia.martinez@company.com" TargetMode="External"/><Relationship Id="rId142" Type="http://schemas.openxmlformats.org/officeDocument/2006/relationships/hyperlink" Target="mailto:susantaylor@company.com" TargetMode="External"/><Relationship Id="rId184" Type="http://schemas.openxmlformats.org/officeDocument/2006/relationships/hyperlink" Target="mailto:jenniferthomas@company.com" TargetMode="External"/><Relationship Id="rId391" Type="http://schemas.openxmlformats.org/officeDocument/2006/relationships/hyperlink" Target="mailto:johnadams@company.com" TargetMode="External"/><Relationship Id="rId405" Type="http://schemas.openxmlformats.org/officeDocument/2006/relationships/hyperlink" Target="mailto:linda.garcia@company.com" TargetMode="External"/><Relationship Id="rId447" Type="http://schemas.openxmlformats.org/officeDocument/2006/relationships/hyperlink" Target="mailto:patriciabrown@company.com" TargetMode="External"/><Relationship Id="rId251" Type="http://schemas.openxmlformats.org/officeDocument/2006/relationships/hyperlink" Target="mailto:michael.taylor@company.com" TargetMode="External"/><Relationship Id="rId46" Type="http://schemas.openxmlformats.org/officeDocument/2006/relationships/hyperlink" Target="mailto:barbara_lopez@company.com" TargetMode="External"/><Relationship Id="rId293" Type="http://schemas.openxmlformats.org/officeDocument/2006/relationships/hyperlink" Target="mailto:elizabeth.smith@company.com" TargetMode="External"/><Relationship Id="rId307" Type="http://schemas.openxmlformats.org/officeDocument/2006/relationships/hyperlink" Target="mailto:jennifer_thomas@company.com" TargetMode="External"/><Relationship Id="rId349" Type="http://schemas.openxmlformats.org/officeDocument/2006/relationships/hyperlink" Target="mailto:mary_lopez@company.com" TargetMode="External"/><Relationship Id="rId88" Type="http://schemas.openxmlformats.org/officeDocument/2006/relationships/hyperlink" Target="mailto:barbara.smith@company.com" TargetMode="External"/><Relationship Id="rId111" Type="http://schemas.openxmlformats.org/officeDocument/2006/relationships/hyperlink" Target="mailto:susan.garcia@company.com" TargetMode="External"/><Relationship Id="rId153" Type="http://schemas.openxmlformats.org/officeDocument/2006/relationships/hyperlink" Target="mailto:patriciataylor@company.com" TargetMode="External"/><Relationship Id="rId195" Type="http://schemas.openxmlformats.org/officeDocument/2006/relationships/hyperlink" Target="mailto:michaelwilson@company.com" TargetMode="External"/><Relationship Id="rId209" Type="http://schemas.openxmlformats.org/officeDocument/2006/relationships/hyperlink" Target="mailto:lindadavis@company.com" TargetMode="External"/><Relationship Id="rId360" Type="http://schemas.openxmlformats.org/officeDocument/2006/relationships/hyperlink" Target="mailto:james_thomas@company.com" TargetMode="External"/><Relationship Id="rId416" Type="http://schemas.openxmlformats.org/officeDocument/2006/relationships/hyperlink" Target="mailto:mary.adams@company.com" TargetMode="External"/><Relationship Id="rId220" Type="http://schemas.openxmlformats.org/officeDocument/2006/relationships/hyperlink" Target="mailto:patriciaadams@company.com" TargetMode="External"/><Relationship Id="rId458" Type="http://schemas.openxmlformats.org/officeDocument/2006/relationships/hyperlink" Target="mailto:michaelgarcia@company.com" TargetMode="External"/><Relationship Id="rId15" Type="http://schemas.openxmlformats.org/officeDocument/2006/relationships/hyperlink" Target="mailto:barbaraoconnel@company.com" TargetMode="External"/><Relationship Id="rId57" Type="http://schemas.openxmlformats.org/officeDocument/2006/relationships/hyperlink" Target="mailto:barbararodriguez@company.com" TargetMode="External"/><Relationship Id="rId262" Type="http://schemas.openxmlformats.org/officeDocument/2006/relationships/hyperlink" Target="mailto:susan_smith@company.com" TargetMode="External"/><Relationship Id="rId318" Type="http://schemas.openxmlformats.org/officeDocument/2006/relationships/hyperlink" Target="mailto:linda.rodriguez@company.com" TargetMode="External"/><Relationship Id="rId99" Type="http://schemas.openxmlformats.org/officeDocument/2006/relationships/hyperlink" Target="mailto:james_garcia@company.com" TargetMode="External"/><Relationship Id="rId122" Type="http://schemas.openxmlformats.org/officeDocument/2006/relationships/hyperlink" Target="mailto:elizabethgarcia@company.com" TargetMode="External"/><Relationship Id="rId164" Type="http://schemas.openxmlformats.org/officeDocument/2006/relationships/hyperlink" Target="mailto:james.taylor@company.com" TargetMode="External"/><Relationship Id="rId371" Type="http://schemas.openxmlformats.org/officeDocument/2006/relationships/hyperlink" Target="mailto:peter.wilson@company.com" TargetMode="External"/><Relationship Id="rId427" Type="http://schemas.openxmlformats.org/officeDocument/2006/relationships/hyperlink" Target="mailto:annataylor@company.com" TargetMode="External"/><Relationship Id="rId469" Type="http://schemas.openxmlformats.org/officeDocument/2006/relationships/hyperlink" Target="mailto:davidwright@company.com" TargetMode="External"/><Relationship Id="rId26" Type="http://schemas.openxmlformats.org/officeDocument/2006/relationships/hyperlink" Target="mailto:jennifer.wilson@company.com" TargetMode="External"/><Relationship Id="rId231" Type="http://schemas.openxmlformats.org/officeDocument/2006/relationships/hyperlink" Target="mailto:patricia.anderson@company.com" TargetMode="External"/><Relationship Id="rId273" Type="http://schemas.openxmlformats.org/officeDocument/2006/relationships/hyperlink" Target="mailto:susan.rodriguez@company.com" TargetMode="External"/><Relationship Id="rId329" Type="http://schemas.openxmlformats.org/officeDocument/2006/relationships/hyperlink" Target="mailto:robert.garcia@company.com" TargetMode="External"/><Relationship Id="rId68" Type="http://schemas.openxmlformats.org/officeDocument/2006/relationships/hyperlink" Target="mailto:linda.wilson@company.com" TargetMode="External"/><Relationship Id="rId133" Type="http://schemas.openxmlformats.org/officeDocument/2006/relationships/hyperlink" Target="mailto:johnmiller@company.com" TargetMode="External"/><Relationship Id="rId175" Type="http://schemas.openxmlformats.org/officeDocument/2006/relationships/hyperlink" Target="mailto:susangarcia@company.com" TargetMode="External"/><Relationship Id="rId340" Type="http://schemas.openxmlformats.org/officeDocument/2006/relationships/hyperlink" Target="mailto:davidjohnson@company.com" TargetMode="External"/><Relationship Id="rId200" Type="http://schemas.openxmlformats.org/officeDocument/2006/relationships/hyperlink" Target="mailto:elizabethlopez@company.com" TargetMode="External"/><Relationship Id="rId382" Type="http://schemas.openxmlformats.org/officeDocument/2006/relationships/hyperlink" Target="mailto:linda.taylor@company.com" TargetMode="External"/><Relationship Id="rId438" Type="http://schemas.openxmlformats.org/officeDocument/2006/relationships/hyperlink" Target="mailto:michael_taylor@company.com" TargetMode="External"/><Relationship Id="rId242" Type="http://schemas.openxmlformats.org/officeDocument/2006/relationships/hyperlink" Target="mailto:williammartinez@company.com" TargetMode="External"/><Relationship Id="rId284" Type="http://schemas.openxmlformats.org/officeDocument/2006/relationships/hyperlink" Target="mailto:patriciagarcia@company.com" TargetMode="External"/><Relationship Id="rId37" Type="http://schemas.openxmlformats.org/officeDocument/2006/relationships/hyperlink" Target="mailto:jennifer.rodriguez@company.com" TargetMode="External"/><Relationship Id="rId79" Type="http://schemas.openxmlformats.org/officeDocument/2006/relationships/hyperlink" Target="mailto:jennifer_wright@company.com" TargetMode="External"/><Relationship Id="rId102" Type="http://schemas.openxmlformats.org/officeDocument/2006/relationships/hyperlink" Target="mailto:susan.anderson@company.com" TargetMode="External"/><Relationship Id="rId144" Type="http://schemas.openxmlformats.org/officeDocument/2006/relationships/hyperlink" Target="mailto:jennifertaylor@company.com" TargetMode="External"/><Relationship Id="rId90" Type="http://schemas.openxmlformats.org/officeDocument/2006/relationships/hyperlink" Target="mailto:barbarawilson@company.com" TargetMode="External"/><Relationship Id="rId186" Type="http://schemas.openxmlformats.org/officeDocument/2006/relationships/hyperlink" Target="mailto:davidmiller@company.com" TargetMode="External"/><Relationship Id="rId351" Type="http://schemas.openxmlformats.org/officeDocument/2006/relationships/hyperlink" Target="mailto:david.lopez@company.com" TargetMode="External"/><Relationship Id="rId393" Type="http://schemas.openxmlformats.org/officeDocument/2006/relationships/hyperlink" Target="mailto:annabrown@company.com" TargetMode="External"/><Relationship Id="rId407" Type="http://schemas.openxmlformats.org/officeDocument/2006/relationships/hyperlink" Target="mailto:susan.lopez@company.com" TargetMode="External"/><Relationship Id="rId449" Type="http://schemas.openxmlformats.org/officeDocument/2006/relationships/hyperlink" Target="mailto:jennifergarcia@company.com" TargetMode="External"/><Relationship Id="rId211" Type="http://schemas.openxmlformats.org/officeDocument/2006/relationships/hyperlink" Target="mailto:jennifer.smith@company.com" TargetMode="External"/><Relationship Id="rId253" Type="http://schemas.openxmlformats.org/officeDocument/2006/relationships/hyperlink" Target="mailto:elizabeth_rodriguez@company.com" TargetMode="External"/><Relationship Id="rId295" Type="http://schemas.openxmlformats.org/officeDocument/2006/relationships/hyperlink" Target="mailto:annalopez@company.com" TargetMode="External"/><Relationship Id="rId309" Type="http://schemas.openxmlformats.org/officeDocument/2006/relationships/hyperlink" Target="mailto:robert.martinez@company.com" TargetMode="External"/><Relationship Id="rId460" Type="http://schemas.openxmlformats.org/officeDocument/2006/relationships/hyperlink" Target="mailto:marylopez@company.com" TargetMode="External"/><Relationship Id="rId48" Type="http://schemas.openxmlformats.org/officeDocument/2006/relationships/hyperlink" Target="mailto:susanlopez@company.com" TargetMode="External"/><Relationship Id="rId113" Type="http://schemas.openxmlformats.org/officeDocument/2006/relationships/hyperlink" Target="mailto:davidlopez@company.com" TargetMode="External"/><Relationship Id="rId320" Type="http://schemas.openxmlformats.org/officeDocument/2006/relationships/hyperlink" Target="mailto:richarddavis@company.com" TargetMode="External"/><Relationship Id="rId155" Type="http://schemas.openxmlformats.org/officeDocument/2006/relationships/hyperlink" Target="mailto:peter.rodriguez@company.com" TargetMode="External"/><Relationship Id="rId197" Type="http://schemas.openxmlformats.org/officeDocument/2006/relationships/hyperlink" Target="mailto:david.johnson@company.com" TargetMode="External"/><Relationship Id="rId362" Type="http://schemas.openxmlformats.org/officeDocument/2006/relationships/hyperlink" Target="mailto:james.thomas@company.com" TargetMode="External"/><Relationship Id="rId418" Type="http://schemas.openxmlformats.org/officeDocument/2006/relationships/hyperlink" Target="mailto:susan.rodriguez@company.com" TargetMode="External"/><Relationship Id="rId222" Type="http://schemas.openxmlformats.org/officeDocument/2006/relationships/hyperlink" Target="mailto:anna_adams@company.com" TargetMode="External"/><Relationship Id="rId264" Type="http://schemas.openxmlformats.org/officeDocument/2006/relationships/hyperlink" Target="mailto:james_wright@company.com" TargetMode="External"/><Relationship Id="rId471" Type="http://schemas.openxmlformats.org/officeDocument/2006/relationships/table" Target="../tables/table2.xml"/><Relationship Id="rId17" Type="http://schemas.openxmlformats.org/officeDocument/2006/relationships/hyperlink" Target="mailto:michael.garcia@company.com" TargetMode="External"/><Relationship Id="rId59" Type="http://schemas.openxmlformats.org/officeDocument/2006/relationships/hyperlink" Target="mailto:david.davis@company.com" TargetMode="External"/><Relationship Id="rId124" Type="http://schemas.openxmlformats.org/officeDocument/2006/relationships/hyperlink" Target="mailto:richard.wright@company.com" TargetMode="External"/><Relationship Id="rId70" Type="http://schemas.openxmlformats.org/officeDocument/2006/relationships/hyperlink" Target="mailto:robert.garcia@company.com" TargetMode="External"/><Relationship Id="rId166" Type="http://schemas.openxmlformats.org/officeDocument/2006/relationships/hyperlink" Target="mailto:susan_brown@company.com" TargetMode="External"/><Relationship Id="rId331" Type="http://schemas.openxmlformats.org/officeDocument/2006/relationships/hyperlink" Target="mailto:peter.lopez@company.com" TargetMode="External"/><Relationship Id="rId373" Type="http://schemas.openxmlformats.org/officeDocument/2006/relationships/hyperlink" Target="mailto:patriciajohnson@company.com" TargetMode="External"/><Relationship Id="rId429" Type="http://schemas.openxmlformats.org/officeDocument/2006/relationships/hyperlink" Target="mailto:davidlopez@company.com" TargetMode="External"/><Relationship Id="rId1" Type="http://schemas.openxmlformats.org/officeDocument/2006/relationships/hyperlink" Target="mailto:michael_garcia@company.com" TargetMode="External"/><Relationship Id="rId233" Type="http://schemas.openxmlformats.org/officeDocument/2006/relationships/hyperlink" Target="mailto:jennifersmith@company.com" TargetMode="External"/><Relationship Id="rId440" Type="http://schemas.openxmlformats.org/officeDocument/2006/relationships/hyperlink" Target="mailto:james_anderson@company.com" TargetMode="External"/><Relationship Id="rId28" Type="http://schemas.openxmlformats.org/officeDocument/2006/relationships/hyperlink" Target="mailto:jennifer.adams@company.com" TargetMode="External"/><Relationship Id="rId275" Type="http://schemas.openxmlformats.org/officeDocument/2006/relationships/hyperlink" Target="mailto:richard.brown@company.com" TargetMode="External"/><Relationship Id="rId300" Type="http://schemas.openxmlformats.org/officeDocument/2006/relationships/hyperlink" Target="mailto:patriciawilson@company.com" TargetMode="External"/><Relationship Id="rId81" Type="http://schemas.openxmlformats.org/officeDocument/2006/relationships/hyperlink" Target="mailto:anna.taylor@company.com" TargetMode="External"/><Relationship Id="rId135" Type="http://schemas.openxmlformats.org/officeDocument/2006/relationships/hyperlink" Target="mailto:jennifertaylor@company.com" TargetMode="External"/><Relationship Id="rId177" Type="http://schemas.openxmlformats.org/officeDocument/2006/relationships/hyperlink" Target="mailto:john.davis@company.com" TargetMode="External"/><Relationship Id="rId342" Type="http://schemas.openxmlformats.org/officeDocument/2006/relationships/hyperlink" Target="mailto:susan_taylor@company.com" TargetMode="External"/><Relationship Id="rId384" Type="http://schemas.openxmlformats.org/officeDocument/2006/relationships/hyperlink" Target="mailto:susan.anderson@company.com" TargetMode="External"/><Relationship Id="rId202" Type="http://schemas.openxmlformats.org/officeDocument/2006/relationships/hyperlink" Target="mailto:susan_adams@company.com" TargetMode="External"/><Relationship Id="rId244" Type="http://schemas.openxmlformats.org/officeDocument/2006/relationships/hyperlink" Target="mailto:jenniferwright@company.com" TargetMode="External"/><Relationship Id="rId39" Type="http://schemas.openxmlformats.org/officeDocument/2006/relationships/hyperlink" Target="mailto:barbara_wilson@company.com" TargetMode="External"/><Relationship Id="rId286" Type="http://schemas.openxmlformats.org/officeDocument/2006/relationships/hyperlink" Target="mailto:lindaadams@company.com" TargetMode="External"/><Relationship Id="rId451" Type="http://schemas.openxmlformats.org/officeDocument/2006/relationships/hyperlink" Target="mailto:mary_adams@company.com" TargetMode="External"/><Relationship Id="rId50" Type="http://schemas.openxmlformats.org/officeDocument/2006/relationships/hyperlink" Target="mailto:lindaadams@company.com" TargetMode="External"/><Relationship Id="rId104" Type="http://schemas.openxmlformats.org/officeDocument/2006/relationships/hyperlink" Target="mailto:william.davis@company.com" TargetMode="External"/><Relationship Id="rId146" Type="http://schemas.openxmlformats.org/officeDocument/2006/relationships/hyperlink" Target="mailto:richard_martinez@company.com" TargetMode="External"/><Relationship Id="rId188" Type="http://schemas.openxmlformats.org/officeDocument/2006/relationships/hyperlink" Target="mailto:patricia_adams@company.com" TargetMode="External"/><Relationship Id="rId311" Type="http://schemas.openxmlformats.org/officeDocument/2006/relationships/hyperlink" Target="mailto:richard.martinez@company.com" TargetMode="External"/><Relationship Id="rId353" Type="http://schemas.openxmlformats.org/officeDocument/2006/relationships/hyperlink" Target="mailto:elizabeth.anderson@company.com" TargetMode="External"/><Relationship Id="rId395" Type="http://schemas.openxmlformats.org/officeDocument/2006/relationships/hyperlink" Target="mailto:peter.johnson@company.com" TargetMode="External"/><Relationship Id="rId409" Type="http://schemas.openxmlformats.org/officeDocument/2006/relationships/hyperlink" Target="mailto:susanlopez@company.com" TargetMode="External"/><Relationship Id="rId92" Type="http://schemas.openxmlformats.org/officeDocument/2006/relationships/hyperlink" Target="mailto:peter.garcia@company.com" TargetMode="External"/><Relationship Id="rId213" Type="http://schemas.openxmlformats.org/officeDocument/2006/relationships/hyperlink" Target="mailto:john.johnson@company.com" TargetMode="External"/><Relationship Id="rId420" Type="http://schemas.openxmlformats.org/officeDocument/2006/relationships/hyperlink" Target="mailto:richard.martinez@company.com" TargetMode="External"/><Relationship Id="rId255" Type="http://schemas.openxmlformats.org/officeDocument/2006/relationships/hyperlink" Target="mailto:linda.wilson@company.com" TargetMode="External"/><Relationship Id="rId297" Type="http://schemas.openxmlformats.org/officeDocument/2006/relationships/hyperlink" Target="mailto:patricia.wright@company.com" TargetMode="External"/><Relationship Id="rId462" Type="http://schemas.openxmlformats.org/officeDocument/2006/relationships/hyperlink" Target="mailto:linda.wright@company.com" TargetMode="External"/><Relationship Id="rId115" Type="http://schemas.openxmlformats.org/officeDocument/2006/relationships/hyperlink" Target="mailto:jennifer.rodriguez@company.com" TargetMode="External"/><Relationship Id="rId157" Type="http://schemas.openxmlformats.org/officeDocument/2006/relationships/hyperlink" Target="mailto:elizabeth_thomas@company.com" TargetMode="External"/><Relationship Id="rId322" Type="http://schemas.openxmlformats.org/officeDocument/2006/relationships/hyperlink" Target="mailto:michael.smith@company.com" TargetMode="External"/><Relationship Id="rId364" Type="http://schemas.openxmlformats.org/officeDocument/2006/relationships/hyperlink" Target="mailto:susanrodriguez@company.com" TargetMode="External"/><Relationship Id="rId61" Type="http://schemas.openxmlformats.org/officeDocument/2006/relationships/hyperlink" Target="mailto:peter.brown@company.com" TargetMode="External"/><Relationship Id="rId199" Type="http://schemas.openxmlformats.org/officeDocument/2006/relationships/hyperlink" Target="mailto:richardrodriguez@company.com"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C160-C122-4E3C-BC13-931970E9356F}">
  <dimension ref="A1:J501"/>
  <sheetViews>
    <sheetView workbookViewId="0">
      <selection activeCell="M20" sqref="M20"/>
    </sheetView>
  </sheetViews>
  <sheetFormatPr defaultRowHeight="14.5" x14ac:dyDescent="0.35"/>
  <cols>
    <col min="1" max="1" width="11.26953125" bestFit="1" customWidth="1"/>
    <col min="2" max="2" width="17.26953125" bestFit="1" customWidth="1"/>
    <col min="3" max="3" width="11.08984375" bestFit="1" customWidth="1"/>
    <col min="5" max="5" width="31.7265625" bestFit="1" customWidth="1"/>
    <col min="6" max="6" width="14.81640625" bestFit="1" customWidth="1"/>
  </cols>
  <sheetData>
    <row r="1" spans="1:10" x14ac:dyDescent="0.35">
      <c r="A1" s="6" t="s">
        <v>0</v>
      </c>
      <c r="B1" s="6" t="s">
        <v>1</v>
      </c>
      <c r="C1" s="6" t="s">
        <v>2</v>
      </c>
      <c r="D1" s="6" t="s">
        <v>3</v>
      </c>
      <c r="E1" s="6" t="s">
        <v>4</v>
      </c>
      <c r="F1" s="6" t="s">
        <v>5</v>
      </c>
      <c r="G1" s="6" t="s">
        <v>6</v>
      </c>
      <c r="H1" s="6" t="s">
        <v>7</v>
      </c>
      <c r="I1" s="6" t="s">
        <v>8</v>
      </c>
      <c r="J1" s="6" t="s">
        <v>9</v>
      </c>
    </row>
    <row r="2" spans="1:10" x14ac:dyDescent="0.35">
      <c r="A2">
        <v>101</v>
      </c>
      <c r="B2" t="s">
        <v>10</v>
      </c>
      <c r="C2" t="s">
        <v>11</v>
      </c>
      <c r="D2" t="s">
        <v>12</v>
      </c>
      <c r="E2" t="s">
        <v>13</v>
      </c>
      <c r="F2" t="s">
        <v>14</v>
      </c>
      <c r="G2">
        <v>53118</v>
      </c>
      <c r="H2">
        <v>59453</v>
      </c>
      <c r="I2">
        <v>21739</v>
      </c>
      <c r="J2">
        <v>56781</v>
      </c>
    </row>
    <row r="3" spans="1:10" x14ac:dyDescent="0.35">
      <c r="A3">
        <v>102</v>
      </c>
      <c r="B3" t="s">
        <v>15</v>
      </c>
      <c r="C3" t="s">
        <v>16</v>
      </c>
      <c r="D3" t="s">
        <v>12</v>
      </c>
      <c r="E3" t="s">
        <v>17</v>
      </c>
      <c r="F3" t="s">
        <v>18</v>
      </c>
      <c r="G3">
        <v>26338</v>
      </c>
      <c r="H3">
        <v>43526</v>
      </c>
      <c r="I3">
        <v>75541</v>
      </c>
      <c r="J3">
        <v>42541</v>
      </c>
    </row>
    <row r="4" spans="1:10" x14ac:dyDescent="0.35">
      <c r="A4">
        <v>103</v>
      </c>
      <c r="B4" t="s">
        <v>19</v>
      </c>
      <c r="C4" t="s">
        <v>11</v>
      </c>
      <c r="D4" t="s">
        <v>20</v>
      </c>
      <c r="E4" t="s">
        <v>21</v>
      </c>
      <c r="F4" t="s">
        <v>22</v>
      </c>
      <c r="G4">
        <v>63336</v>
      </c>
      <c r="H4">
        <v>34935</v>
      </c>
      <c r="I4">
        <v>70663</v>
      </c>
      <c r="J4">
        <v>38965</v>
      </c>
    </row>
    <row r="5" spans="1:10" x14ac:dyDescent="0.35">
      <c r="A5">
        <v>104</v>
      </c>
      <c r="B5" t="s">
        <v>23</v>
      </c>
      <c r="C5" t="s">
        <v>16</v>
      </c>
      <c r="D5" t="s">
        <v>12</v>
      </c>
      <c r="E5" t="s">
        <v>24</v>
      </c>
      <c r="F5" t="s">
        <v>25</v>
      </c>
      <c r="G5">
        <v>50294</v>
      </c>
      <c r="H5">
        <v>44867</v>
      </c>
      <c r="I5">
        <v>37691</v>
      </c>
      <c r="J5">
        <v>61943</v>
      </c>
    </row>
    <row r="6" spans="1:10" x14ac:dyDescent="0.35">
      <c r="A6">
        <v>105</v>
      </c>
      <c r="B6" t="s">
        <v>26</v>
      </c>
      <c r="C6" t="s">
        <v>27</v>
      </c>
      <c r="D6" t="s">
        <v>28</v>
      </c>
      <c r="E6" t="s">
        <v>29</v>
      </c>
      <c r="F6" t="s">
        <v>30</v>
      </c>
      <c r="G6">
        <v>29363</v>
      </c>
      <c r="H6">
        <v>37359</v>
      </c>
      <c r="I6">
        <v>29150</v>
      </c>
      <c r="J6">
        <v>36162</v>
      </c>
    </row>
    <row r="7" spans="1:10" x14ac:dyDescent="0.35">
      <c r="A7">
        <v>106</v>
      </c>
      <c r="B7" t="s">
        <v>31</v>
      </c>
      <c r="C7" t="s">
        <v>32</v>
      </c>
      <c r="D7" t="s">
        <v>20</v>
      </c>
      <c r="E7" t="s">
        <v>33</v>
      </c>
      <c r="F7" t="s">
        <v>34</v>
      </c>
      <c r="G7">
        <v>24163</v>
      </c>
      <c r="H7">
        <v>45216</v>
      </c>
      <c r="I7">
        <v>45009</v>
      </c>
      <c r="J7">
        <v>59052</v>
      </c>
    </row>
    <row r="8" spans="1:10" x14ac:dyDescent="0.35">
      <c r="A8">
        <v>107</v>
      </c>
      <c r="B8" t="s">
        <v>35</v>
      </c>
      <c r="C8" t="s">
        <v>11</v>
      </c>
      <c r="D8" t="s">
        <v>28</v>
      </c>
      <c r="E8" t="s">
        <v>36</v>
      </c>
      <c r="F8" t="s">
        <v>37</v>
      </c>
      <c r="G8">
        <v>52806</v>
      </c>
      <c r="H8">
        <v>69935</v>
      </c>
      <c r="I8">
        <v>31708</v>
      </c>
      <c r="J8">
        <v>53271</v>
      </c>
    </row>
    <row r="9" spans="1:10" x14ac:dyDescent="0.35">
      <c r="A9">
        <v>108</v>
      </c>
      <c r="B9" t="s">
        <v>38</v>
      </c>
      <c r="C9" t="s">
        <v>39</v>
      </c>
      <c r="D9" t="s">
        <v>12</v>
      </c>
      <c r="E9" t="s">
        <v>40</v>
      </c>
      <c r="F9" t="s">
        <v>41</v>
      </c>
      <c r="G9">
        <v>35785</v>
      </c>
      <c r="H9">
        <v>77541</v>
      </c>
      <c r="I9">
        <v>57182</v>
      </c>
      <c r="J9">
        <v>25161</v>
      </c>
    </row>
    <row r="10" spans="1:10" x14ac:dyDescent="0.35">
      <c r="A10">
        <v>109</v>
      </c>
      <c r="B10" t="s">
        <v>42</v>
      </c>
      <c r="C10" t="s">
        <v>27</v>
      </c>
      <c r="D10" t="s">
        <v>43</v>
      </c>
      <c r="E10" t="s">
        <v>44</v>
      </c>
      <c r="F10" t="s">
        <v>45</v>
      </c>
      <c r="G10">
        <v>46148</v>
      </c>
      <c r="H10">
        <v>64019</v>
      </c>
      <c r="I10">
        <v>62590</v>
      </c>
      <c r="J10">
        <v>44472</v>
      </c>
    </row>
    <row r="11" spans="1:10" x14ac:dyDescent="0.35">
      <c r="A11">
        <v>110</v>
      </c>
      <c r="B11" t="s">
        <v>46</v>
      </c>
      <c r="C11" t="s">
        <v>39</v>
      </c>
      <c r="D11" t="s">
        <v>43</v>
      </c>
      <c r="E11" t="s">
        <v>47</v>
      </c>
      <c r="F11" t="s">
        <v>48</v>
      </c>
      <c r="G11">
        <v>79337</v>
      </c>
      <c r="H11">
        <v>22058</v>
      </c>
      <c r="I11">
        <v>76337</v>
      </c>
      <c r="J11">
        <v>41654</v>
      </c>
    </row>
    <row r="12" spans="1:10" x14ac:dyDescent="0.35">
      <c r="A12">
        <v>111</v>
      </c>
      <c r="B12" t="s">
        <v>49</v>
      </c>
      <c r="C12" t="s">
        <v>11</v>
      </c>
      <c r="D12" t="s">
        <v>20</v>
      </c>
      <c r="E12" t="s">
        <v>50</v>
      </c>
      <c r="F12" t="s">
        <v>51</v>
      </c>
      <c r="G12">
        <v>63187</v>
      </c>
      <c r="H12">
        <v>48249</v>
      </c>
      <c r="I12">
        <v>43219</v>
      </c>
      <c r="J12">
        <v>47759</v>
      </c>
    </row>
    <row r="13" spans="1:10" x14ac:dyDescent="0.35">
      <c r="A13">
        <v>112</v>
      </c>
      <c r="B13" t="s">
        <v>52</v>
      </c>
      <c r="C13" t="s">
        <v>11</v>
      </c>
      <c r="D13" t="s">
        <v>28</v>
      </c>
      <c r="E13" t="s">
        <v>53</v>
      </c>
      <c r="F13" t="s">
        <v>54</v>
      </c>
      <c r="G13">
        <v>32025</v>
      </c>
      <c r="H13">
        <v>38254</v>
      </c>
      <c r="I13">
        <v>50318</v>
      </c>
      <c r="J13">
        <v>36371</v>
      </c>
    </row>
    <row r="14" spans="1:10" x14ac:dyDescent="0.35">
      <c r="A14">
        <v>113</v>
      </c>
      <c r="B14" t="s">
        <v>46</v>
      </c>
      <c r="C14" t="s">
        <v>55</v>
      </c>
      <c r="D14" t="s">
        <v>28</v>
      </c>
      <c r="E14" t="s">
        <v>47</v>
      </c>
      <c r="F14" t="s">
        <v>56</v>
      </c>
      <c r="G14">
        <v>44836</v>
      </c>
      <c r="H14">
        <v>20141</v>
      </c>
      <c r="I14">
        <v>45586</v>
      </c>
      <c r="J14">
        <v>37380</v>
      </c>
    </row>
    <row r="15" spans="1:10" x14ac:dyDescent="0.35">
      <c r="A15">
        <v>114</v>
      </c>
      <c r="B15" t="s">
        <v>57</v>
      </c>
      <c r="C15" t="s">
        <v>11</v>
      </c>
      <c r="D15" t="s">
        <v>20</v>
      </c>
      <c r="E15" t="s">
        <v>58</v>
      </c>
      <c r="F15" t="s">
        <v>59</v>
      </c>
      <c r="G15">
        <v>75883</v>
      </c>
      <c r="H15">
        <v>54807</v>
      </c>
      <c r="I15">
        <v>30317</v>
      </c>
      <c r="J15">
        <v>23727</v>
      </c>
    </row>
    <row r="16" spans="1:10" x14ac:dyDescent="0.35">
      <c r="A16">
        <v>115</v>
      </c>
      <c r="B16" t="s">
        <v>60</v>
      </c>
      <c r="C16" t="s">
        <v>55</v>
      </c>
      <c r="D16" t="s">
        <v>28</v>
      </c>
      <c r="E16" t="s">
        <v>61</v>
      </c>
      <c r="F16" t="s">
        <v>62</v>
      </c>
      <c r="G16">
        <v>33386</v>
      </c>
      <c r="H16">
        <v>63891</v>
      </c>
      <c r="I16">
        <v>66936</v>
      </c>
      <c r="J16">
        <v>40590</v>
      </c>
    </row>
    <row r="17" spans="1:10" x14ac:dyDescent="0.35">
      <c r="A17">
        <v>116</v>
      </c>
      <c r="B17" t="s">
        <v>63</v>
      </c>
      <c r="C17" t="s">
        <v>39</v>
      </c>
      <c r="D17" t="s">
        <v>12</v>
      </c>
      <c r="E17" t="s">
        <v>64</v>
      </c>
      <c r="F17" t="s">
        <v>65</v>
      </c>
      <c r="G17">
        <v>77728</v>
      </c>
      <c r="H17">
        <v>24508</v>
      </c>
      <c r="I17">
        <v>77623</v>
      </c>
      <c r="J17">
        <v>36009</v>
      </c>
    </row>
    <row r="18" spans="1:10" x14ac:dyDescent="0.35">
      <c r="A18">
        <v>117</v>
      </c>
      <c r="B18" t="s">
        <v>66</v>
      </c>
      <c r="C18" t="s">
        <v>16</v>
      </c>
      <c r="D18" t="s">
        <v>12</v>
      </c>
      <c r="E18" t="s">
        <v>67</v>
      </c>
      <c r="F18" t="s">
        <v>68</v>
      </c>
      <c r="G18">
        <v>68655</v>
      </c>
      <c r="H18">
        <v>56256</v>
      </c>
      <c r="I18">
        <v>30187</v>
      </c>
      <c r="J18">
        <v>37848</v>
      </c>
    </row>
    <row r="19" spans="1:10" x14ac:dyDescent="0.35">
      <c r="A19">
        <v>118</v>
      </c>
      <c r="B19" t="s">
        <v>69</v>
      </c>
      <c r="C19" t="s">
        <v>39</v>
      </c>
      <c r="D19" t="s">
        <v>12</v>
      </c>
      <c r="E19" t="s">
        <v>70</v>
      </c>
      <c r="F19" t="s">
        <v>71</v>
      </c>
      <c r="G19">
        <v>70536</v>
      </c>
      <c r="H19">
        <v>28573</v>
      </c>
      <c r="I19">
        <v>61753</v>
      </c>
      <c r="J19">
        <v>37167</v>
      </c>
    </row>
    <row r="20" spans="1:10" x14ac:dyDescent="0.35">
      <c r="A20">
        <v>119</v>
      </c>
      <c r="B20" t="s">
        <v>72</v>
      </c>
      <c r="C20" t="s">
        <v>32</v>
      </c>
      <c r="D20" t="s">
        <v>28</v>
      </c>
      <c r="E20" t="s">
        <v>73</v>
      </c>
      <c r="F20" t="s">
        <v>74</v>
      </c>
      <c r="G20">
        <v>78915</v>
      </c>
      <c r="H20">
        <v>72174</v>
      </c>
      <c r="I20">
        <v>76407</v>
      </c>
      <c r="J20">
        <v>22614</v>
      </c>
    </row>
    <row r="21" spans="1:10" x14ac:dyDescent="0.35">
      <c r="A21">
        <v>120</v>
      </c>
      <c r="B21" t="s">
        <v>75</v>
      </c>
      <c r="C21" t="s">
        <v>11</v>
      </c>
      <c r="D21" t="s">
        <v>28</v>
      </c>
      <c r="E21" t="s">
        <v>76</v>
      </c>
      <c r="F21" t="s">
        <v>77</v>
      </c>
      <c r="G21">
        <v>31754</v>
      </c>
      <c r="H21">
        <v>68271</v>
      </c>
      <c r="I21">
        <v>41770</v>
      </c>
      <c r="J21">
        <v>71274</v>
      </c>
    </row>
    <row r="22" spans="1:10" x14ac:dyDescent="0.35">
      <c r="A22">
        <v>121</v>
      </c>
      <c r="B22" t="s">
        <v>49</v>
      </c>
      <c r="C22" t="s">
        <v>39</v>
      </c>
      <c r="D22" t="s">
        <v>28</v>
      </c>
      <c r="E22" t="s">
        <v>78</v>
      </c>
      <c r="F22" t="s">
        <v>79</v>
      </c>
      <c r="G22">
        <v>21550</v>
      </c>
      <c r="H22">
        <v>63255</v>
      </c>
      <c r="I22">
        <v>32656</v>
      </c>
      <c r="J22">
        <v>46113</v>
      </c>
    </row>
    <row r="23" spans="1:10" x14ac:dyDescent="0.35">
      <c r="A23">
        <v>122</v>
      </c>
      <c r="B23" t="s">
        <v>80</v>
      </c>
      <c r="C23" t="s">
        <v>27</v>
      </c>
      <c r="D23" t="s">
        <v>12</v>
      </c>
      <c r="E23" t="s">
        <v>81</v>
      </c>
      <c r="F23" t="s">
        <v>82</v>
      </c>
      <c r="G23">
        <v>59096</v>
      </c>
      <c r="H23">
        <v>48479</v>
      </c>
      <c r="I23">
        <v>42654</v>
      </c>
      <c r="J23">
        <v>67745</v>
      </c>
    </row>
    <row r="24" spans="1:10" x14ac:dyDescent="0.35">
      <c r="A24">
        <v>123</v>
      </c>
      <c r="B24" t="s">
        <v>83</v>
      </c>
      <c r="C24" t="s">
        <v>16</v>
      </c>
      <c r="D24" t="s">
        <v>43</v>
      </c>
      <c r="E24" t="s">
        <v>84</v>
      </c>
      <c r="F24" t="s">
        <v>85</v>
      </c>
      <c r="G24">
        <v>53234</v>
      </c>
      <c r="H24">
        <v>40269</v>
      </c>
      <c r="I24">
        <v>63705</v>
      </c>
      <c r="J24">
        <v>46764</v>
      </c>
    </row>
    <row r="25" spans="1:10" x14ac:dyDescent="0.35">
      <c r="A25">
        <v>124</v>
      </c>
      <c r="B25" t="s">
        <v>86</v>
      </c>
      <c r="C25" t="s">
        <v>32</v>
      </c>
      <c r="D25" t="s">
        <v>43</v>
      </c>
      <c r="E25" t="s">
        <v>87</v>
      </c>
      <c r="F25" t="s">
        <v>88</v>
      </c>
      <c r="G25">
        <v>38803</v>
      </c>
      <c r="H25">
        <v>33774</v>
      </c>
      <c r="I25">
        <v>48173</v>
      </c>
      <c r="J25">
        <v>71495</v>
      </c>
    </row>
    <row r="26" spans="1:10" x14ac:dyDescent="0.35">
      <c r="A26">
        <v>125</v>
      </c>
      <c r="B26" t="s">
        <v>89</v>
      </c>
      <c r="C26" t="s">
        <v>16</v>
      </c>
      <c r="D26" t="s">
        <v>20</v>
      </c>
      <c r="E26" t="s">
        <v>90</v>
      </c>
      <c r="F26" t="s">
        <v>91</v>
      </c>
      <c r="G26">
        <v>73636</v>
      </c>
      <c r="H26">
        <v>69226</v>
      </c>
      <c r="I26">
        <v>35392</v>
      </c>
      <c r="J26">
        <v>64092</v>
      </c>
    </row>
    <row r="27" spans="1:10" x14ac:dyDescent="0.35">
      <c r="A27">
        <v>126</v>
      </c>
      <c r="B27" t="s">
        <v>92</v>
      </c>
      <c r="C27" t="s">
        <v>39</v>
      </c>
      <c r="D27" t="s">
        <v>28</v>
      </c>
      <c r="E27" t="s">
        <v>93</v>
      </c>
      <c r="F27" t="s">
        <v>94</v>
      </c>
      <c r="G27">
        <v>35989</v>
      </c>
      <c r="H27">
        <v>29671</v>
      </c>
      <c r="I27">
        <v>62995</v>
      </c>
      <c r="J27">
        <v>65064</v>
      </c>
    </row>
    <row r="28" spans="1:10" x14ac:dyDescent="0.35">
      <c r="A28">
        <v>127</v>
      </c>
      <c r="B28" t="s">
        <v>95</v>
      </c>
      <c r="C28" t="s">
        <v>39</v>
      </c>
      <c r="D28" t="s">
        <v>43</v>
      </c>
      <c r="E28" t="s">
        <v>96</v>
      </c>
      <c r="F28" t="s">
        <v>97</v>
      </c>
      <c r="G28">
        <v>56629</v>
      </c>
      <c r="H28">
        <v>59023</v>
      </c>
      <c r="I28">
        <v>40794</v>
      </c>
      <c r="J28">
        <v>69496</v>
      </c>
    </row>
    <row r="29" spans="1:10" x14ac:dyDescent="0.35">
      <c r="A29">
        <v>128</v>
      </c>
      <c r="B29" t="s">
        <v>98</v>
      </c>
      <c r="C29" t="s">
        <v>39</v>
      </c>
      <c r="D29" t="s">
        <v>20</v>
      </c>
      <c r="E29" t="s">
        <v>99</v>
      </c>
      <c r="F29" t="s">
        <v>100</v>
      </c>
      <c r="G29">
        <v>66762</v>
      </c>
      <c r="H29">
        <v>38725</v>
      </c>
      <c r="I29">
        <v>35367</v>
      </c>
      <c r="J29">
        <v>37807</v>
      </c>
    </row>
    <row r="30" spans="1:10" x14ac:dyDescent="0.35">
      <c r="A30">
        <v>129</v>
      </c>
      <c r="B30" t="s">
        <v>101</v>
      </c>
      <c r="C30" t="s">
        <v>39</v>
      </c>
      <c r="D30" t="s">
        <v>43</v>
      </c>
      <c r="E30" t="s">
        <v>102</v>
      </c>
      <c r="F30" t="s">
        <v>103</v>
      </c>
      <c r="G30">
        <v>33555</v>
      </c>
      <c r="H30">
        <v>74584</v>
      </c>
      <c r="I30">
        <v>47534</v>
      </c>
      <c r="J30">
        <v>45524</v>
      </c>
    </row>
    <row r="31" spans="1:10" x14ac:dyDescent="0.35">
      <c r="A31">
        <v>130</v>
      </c>
      <c r="B31" t="s">
        <v>104</v>
      </c>
      <c r="C31" t="s">
        <v>16</v>
      </c>
      <c r="D31" t="s">
        <v>28</v>
      </c>
      <c r="E31" t="s">
        <v>105</v>
      </c>
      <c r="F31" t="s">
        <v>106</v>
      </c>
      <c r="G31">
        <v>48562</v>
      </c>
      <c r="H31">
        <v>51827</v>
      </c>
      <c r="I31">
        <v>21902</v>
      </c>
      <c r="J31">
        <v>45484</v>
      </c>
    </row>
    <row r="32" spans="1:10" x14ac:dyDescent="0.35">
      <c r="A32">
        <v>131</v>
      </c>
      <c r="B32" t="s">
        <v>107</v>
      </c>
      <c r="C32" t="s">
        <v>27</v>
      </c>
      <c r="D32" t="s">
        <v>20</v>
      </c>
      <c r="E32" t="s">
        <v>108</v>
      </c>
      <c r="F32" t="s">
        <v>109</v>
      </c>
      <c r="G32">
        <v>44844</v>
      </c>
      <c r="H32">
        <v>41453</v>
      </c>
      <c r="I32">
        <v>33871</v>
      </c>
      <c r="J32">
        <v>49799</v>
      </c>
    </row>
    <row r="33" spans="1:10" x14ac:dyDescent="0.35">
      <c r="A33">
        <v>132</v>
      </c>
      <c r="B33" t="s">
        <v>110</v>
      </c>
      <c r="C33" t="s">
        <v>111</v>
      </c>
      <c r="D33" t="s">
        <v>20</v>
      </c>
      <c r="E33" t="s">
        <v>112</v>
      </c>
      <c r="F33" t="s">
        <v>113</v>
      </c>
      <c r="G33">
        <v>36205</v>
      </c>
      <c r="H33">
        <v>33065</v>
      </c>
      <c r="I33">
        <v>74999</v>
      </c>
      <c r="J33">
        <v>21335</v>
      </c>
    </row>
    <row r="34" spans="1:10" x14ac:dyDescent="0.35">
      <c r="A34">
        <v>133</v>
      </c>
      <c r="B34" t="s">
        <v>114</v>
      </c>
      <c r="C34" t="s">
        <v>39</v>
      </c>
      <c r="D34" t="s">
        <v>20</v>
      </c>
      <c r="E34" t="s">
        <v>115</v>
      </c>
      <c r="F34" t="s">
        <v>116</v>
      </c>
      <c r="G34">
        <v>21682</v>
      </c>
      <c r="H34">
        <v>40444</v>
      </c>
      <c r="I34">
        <v>57735</v>
      </c>
      <c r="J34">
        <v>64390</v>
      </c>
    </row>
    <row r="35" spans="1:10" x14ac:dyDescent="0.35">
      <c r="A35">
        <v>134</v>
      </c>
      <c r="B35" t="s">
        <v>117</v>
      </c>
      <c r="C35" t="s">
        <v>55</v>
      </c>
      <c r="D35" t="s">
        <v>43</v>
      </c>
      <c r="E35" t="s">
        <v>118</v>
      </c>
      <c r="F35" t="s">
        <v>119</v>
      </c>
      <c r="G35">
        <v>62437</v>
      </c>
      <c r="H35">
        <v>42362</v>
      </c>
      <c r="I35">
        <v>20829</v>
      </c>
      <c r="J35">
        <v>75677</v>
      </c>
    </row>
    <row r="36" spans="1:10" x14ac:dyDescent="0.35">
      <c r="A36">
        <v>135</v>
      </c>
      <c r="B36" t="s">
        <v>120</v>
      </c>
      <c r="C36" t="s">
        <v>16</v>
      </c>
      <c r="D36" t="s">
        <v>12</v>
      </c>
      <c r="E36" t="s">
        <v>121</v>
      </c>
      <c r="F36" t="s">
        <v>122</v>
      </c>
      <c r="G36">
        <v>48545</v>
      </c>
      <c r="H36">
        <v>74115</v>
      </c>
      <c r="I36">
        <v>67908</v>
      </c>
      <c r="J36">
        <v>58828</v>
      </c>
    </row>
    <row r="37" spans="1:10" x14ac:dyDescent="0.35">
      <c r="A37">
        <v>136</v>
      </c>
      <c r="B37" t="s">
        <v>123</v>
      </c>
      <c r="C37" t="s">
        <v>27</v>
      </c>
      <c r="D37" t="s">
        <v>28</v>
      </c>
      <c r="E37" t="s">
        <v>124</v>
      </c>
      <c r="F37" t="s">
        <v>125</v>
      </c>
      <c r="G37">
        <v>43253</v>
      </c>
      <c r="H37">
        <v>72286</v>
      </c>
      <c r="I37">
        <v>36931</v>
      </c>
      <c r="J37">
        <v>42304</v>
      </c>
    </row>
    <row r="38" spans="1:10" x14ac:dyDescent="0.35">
      <c r="A38">
        <v>137</v>
      </c>
      <c r="B38" t="s">
        <v>35</v>
      </c>
      <c r="C38" t="s">
        <v>32</v>
      </c>
      <c r="D38" t="s">
        <v>43</v>
      </c>
      <c r="E38" t="s">
        <v>126</v>
      </c>
      <c r="F38" t="s">
        <v>127</v>
      </c>
      <c r="G38">
        <v>34522</v>
      </c>
      <c r="H38">
        <v>46502</v>
      </c>
      <c r="I38">
        <v>65336</v>
      </c>
      <c r="J38">
        <v>35945</v>
      </c>
    </row>
    <row r="39" spans="1:10" x14ac:dyDescent="0.35">
      <c r="A39">
        <v>138</v>
      </c>
      <c r="B39" t="s">
        <v>128</v>
      </c>
      <c r="C39" t="s">
        <v>32</v>
      </c>
      <c r="D39" t="s">
        <v>12</v>
      </c>
      <c r="E39" t="s">
        <v>129</v>
      </c>
      <c r="F39" t="s">
        <v>130</v>
      </c>
      <c r="G39">
        <v>68685</v>
      </c>
      <c r="H39">
        <v>55118</v>
      </c>
      <c r="I39">
        <v>69950</v>
      </c>
      <c r="J39">
        <v>65230</v>
      </c>
    </row>
    <row r="40" spans="1:10" x14ac:dyDescent="0.35">
      <c r="A40">
        <v>139</v>
      </c>
      <c r="B40" t="s">
        <v>131</v>
      </c>
      <c r="C40" t="s">
        <v>11</v>
      </c>
      <c r="D40" t="s">
        <v>20</v>
      </c>
      <c r="E40" t="s">
        <v>132</v>
      </c>
      <c r="F40" t="s">
        <v>133</v>
      </c>
      <c r="G40">
        <v>20927</v>
      </c>
      <c r="H40">
        <v>66400</v>
      </c>
      <c r="I40">
        <v>55005</v>
      </c>
      <c r="J40">
        <v>28295</v>
      </c>
    </row>
    <row r="41" spans="1:10" x14ac:dyDescent="0.35">
      <c r="A41">
        <v>140</v>
      </c>
      <c r="B41" t="s">
        <v>134</v>
      </c>
      <c r="C41" t="s">
        <v>32</v>
      </c>
      <c r="D41" t="s">
        <v>12</v>
      </c>
      <c r="E41" t="s">
        <v>135</v>
      </c>
      <c r="F41" t="s">
        <v>136</v>
      </c>
      <c r="G41">
        <v>23367</v>
      </c>
      <c r="H41">
        <v>36546</v>
      </c>
      <c r="I41">
        <v>76473</v>
      </c>
      <c r="J41">
        <v>51308</v>
      </c>
    </row>
    <row r="42" spans="1:10" x14ac:dyDescent="0.35">
      <c r="A42">
        <v>141</v>
      </c>
      <c r="B42" t="s">
        <v>137</v>
      </c>
      <c r="C42" t="s">
        <v>16</v>
      </c>
      <c r="D42" t="s">
        <v>28</v>
      </c>
      <c r="E42" t="s">
        <v>138</v>
      </c>
      <c r="F42" t="s">
        <v>139</v>
      </c>
      <c r="G42">
        <v>79539</v>
      </c>
      <c r="H42">
        <v>49014</v>
      </c>
      <c r="I42">
        <v>39487</v>
      </c>
      <c r="J42">
        <v>76371</v>
      </c>
    </row>
    <row r="43" spans="1:10" x14ac:dyDescent="0.35">
      <c r="A43">
        <v>142</v>
      </c>
      <c r="B43" t="s">
        <v>140</v>
      </c>
      <c r="C43" t="s">
        <v>32</v>
      </c>
      <c r="D43" t="s">
        <v>28</v>
      </c>
      <c r="E43" t="s">
        <v>141</v>
      </c>
      <c r="F43" t="s">
        <v>142</v>
      </c>
      <c r="G43">
        <v>46772</v>
      </c>
      <c r="H43">
        <v>49524</v>
      </c>
      <c r="I43">
        <v>65178</v>
      </c>
      <c r="J43">
        <v>58916</v>
      </c>
    </row>
    <row r="44" spans="1:10" x14ac:dyDescent="0.35">
      <c r="A44">
        <v>143</v>
      </c>
      <c r="B44" t="s">
        <v>143</v>
      </c>
      <c r="C44" t="s">
        <v>39</v>
      </c>
      <c r="D44" t="s">
        <v>12</v>
      </c>
      <c r="E44" t="s">
        <v>144</v>
      </c>
      <c r="F44" t="s">
        <v>145</v>
      </c>
      <c r="G44">
        <v>79533</v>
      </c>
      <c r="H44">
        <v>37408</v>
      </c>
      <c r="I44">
        <v>74174</v>
      </c>
      <c r="J44">
        <v>29321</v>
      </c>
    </row>
    <row r="45" spans="1:10" x14ac:dyDescent="0.35">
      <c r="A45">
        <v>144</v>
      </c>
      <c r="B45" t="s">
        <v>146</v>
      </c>
      <c r="C45" t="s">
        <v>27</v>
      </c>
      <c r="D45" t="s">
        <v>12</v>
      </c>
      <c r="E45" t="s">
        <v>147</v>
      </c>
      <c r="F45" t="s">
        <v>148</v>
      </c>
      <c r="G45">
        <v>55388</v>
      </c>
      <c r="H45">
        <v>52361</v>
      </c>
      <c r="I45">
        <v>48688</v>
      </c>
      <c r="J45">
        <v>25271</v>
      </c>
    </row>
    <row r="46" spans="1:10" x14ac:dyDescent="0.35">
      <c r="A46">
        <v>145</v>
      </c>
      <c r="B46" t="s">
        <v>149</v>
      </c>
      <c r="C46" t="s">
        <v>11</v>
      </c>
      <c r="D46" t="s">
        <v>12</v>
      </c>
      <c r="E46" t="s">
        <v>150</v>
      </c>
      <c r="F46" t="s">
        <v>151</v>
      </c>
      <c r="G46">
        <v>62697</v>
      </c>
      <c r="H46">
        <v>48981</v>
      </c>
      <c r="I46">
        <v>38229</v>
      </c>
      <c r="J46">
        <v>31894</v>
      </c>
    </row>
    <row r="47" spans="1:10" x14ac:dyDescent="0.35">
      <c r="A47">
        <v>146</v>
      </c>
      <c r="B47" t="s">
        <v>152</v>
      </c>
      <c r="C47" t="s">
        <v>55</v>
      </c>
      <c r="D47" t="s">
        <v>20</v>
      </c>
      <c r="E47" t="s">
        <v>153</v>
      </c>
      <c r="F47" t="s">
        <v>154</v>
      </c>
      <c r="G47">
        <v>63423</v>
      </c>
      <c r="H47">
        <v>46244</v>
      </c>
      <c r="I47">
        <v>73317</v>
      </c>
      <c r="J47">
        <v>69840</v>
      </c>
    </row>
    <row r="48" spans="1:10" x14ac:dyDescent="0.35">
      <c r="A48">
        <v>147</v>
      </c>
      <c r="B48" t="s">
        <v>155</v>
      </c>
      <c r="C48" t="s">
        <v>55</v>
      </c>
      <c r="D48" t="s">
        <v>12</v>
      </c>
      <c r="E48" t="s">
        <v>156</v>
      </c>
      <c r="F48" t="s">
        <v>157</v>
      </c>
      <c r="G48">
        <v>32293</v>
      </c>
      <c r="H48">
        <v>53976</v>
      </c>
      <c r="I48">
        <v>43709</v>
      </c>
      <c r="J48">
        <v>60804</v>
      </c>
    </row>
    <row r="49" spans="1:10" x14ac:dyDescent="0.35">
      <c r="A49">
        <v>148</v>
      </c>
      <c r="B49" t="s">
        <v>52</v>
      </c>
      <c r="C49" t="s">
        <v>39</v>
      </c>
      <c r="D49" t="s">
        <v>12</v>
      </c>
      <c r="E49" t="s">
        <v>158</v>
      </c>
      <c r="F49" t="s">
        <v>159</v>
      </c>
      <c r="G49">
        <v>56099</v>
      </c>
      <c r="H49">
        <v>20896</v>
      </c>
      <c r="I49">
        <v>56192</v>
      </c>
      <c r="J49">
        <v>46738</v>
      </c>
    </row>
    <row r="50" spans="1:10" x14ac:dyDescent="0.35">
      <c r="A50">
        <v>149</v>
      </c>
      <c r="B50" t="s">
        <v>23</v>
      </c>
      <c r="C50" t="s">
        <v>16</v>
      </c>
      <c r="D50" t="s">
        <v>28</v>
      </c>
      <c r="E50" t="s">
        <v>160</v>
      </c>
      <c r="F50" t="s">
        <v>161</v>
      </c>
      <c r="G50">
        <v>49935</v>
      </c>
      <c r="H50">
        <v>56127</v>
      </c>
      <c r="I50">
        <v>29479</v>
      </c>
      <c r="J50">
        <v>45138</v>
      </c>
    </row>
    <row r="51" spans="1:10" x14ac:dyDescent="0.35">
      <c r="A51">
        <v>150</v>
      </c>
      <c r="B51" t="s">
        <v>162</v>
      </c>
      <c r="C51" t="s">
        <v>111</v>
      </c>
      <c r="D51" t="s">
        <v>20</v>
      </c>
      <c r="E51" t="s">
        <v>163</v>
      </c>
      <c r="F51" t="s">
        <v>164</v>
      </c>
      <c r="G51">
        <v>55296</v>
      </c>
      <c r="H51">
        <v>51741</v>
      </c>
      <c r="I51">
        <v>42618</v>
      </c>
      <c r="J51">
        <v>41786</v>
      </c>
    </row>
    <row r="52" spans="1:10" x14ac:dyDescent="0.35">
      <c r="A52">
        <v>151</v>
      </c>
      <c r="B52" t="s">
        <v>165</v>
      </c>
      <c r="C52" t="s">
        <v>111</v>
      </c>
      <c r="D52" t="s">
        <v>43</v>
      </c>
      <c r="E52" t="s">
        <v>166</v>
      </c>
      <c r="F52" t="s">
        <v>167</v>
      </c>
      <c r="G52">
        <v>63495</v>
      </c>
      <c r="H52">
        <v>71930</v>
      </c>
      <c r="I52">
        <v>73788</v>
      </c>
      <c r="J52">
        <v>62730</v>
      </c>
    </row>
    <row r="53" spans="1:10" x14ac:dyDescent="0.35">
      <c r="A53">
        <v>152</v>
      </c>
      <c r="B53" t="s">
        <v>168</v>
      </c>
      <c r="C53" t="s">
        <v>39</v>
      </c>
      <c r="D53" t="s">
        <v>12</v>
      </c>
      <c r="E53" t="s">
        <v>169</v>
      </c>
      <c r="F53" t="s">
        <v>170</v>
      </c>
      <c r="G53">
        <v>42187</v>
      </c>
      <c r="H53">
        <v>60845</v>
      </c>
      <c r="I53">
        <v>65397</v>
      </c>
      <c r="J53">
        <v>46049</v>
      </c>
    </row>
    <row r="54" spans="1:10" x14ac:dyDescent="0.35">
      <c r="A54">
        <v>153</v>
      </c>
      <c r="B54" t="s">
        <v>110</v>
      </c>
      <c r="C54" t="s">
        <v>111</v>
      </c>
      <c r="D54" t="s">
        <v>20</v>
      </c>
      <c r="E54" t="s">
        <v>171</v>
      </c>
      <c r="F54" t="s">
        <v>172</v>
      </c>
      <c r="G54">
        <v>65482</v>
      </c>
      <c r="H54">
        <v>39625</v>
      </c>
      <c r="I54">
        <v>79206</v>
      </c>
      <c r="J54">
        <v>21897</v>
      </c>
    </row>
    <row r="55" spans="1:10" x14ac:dyDescent="0.35">
      <c r="A55">
        <v>154</v>
      </c>
      <c r="B55" t="s">
        <v>173</v>
      </c>
      <c r="C55" t="s">
        <v>111</v>
      </c>
      <c r="D55" t="s">
        <v>12</v>
      </c>
      <c r="E55" t="s">
        <v>174</v>
      </c>
      <c r="F55" t="s">
        <v>175</v>
      </c>
      <c r="G55">
        <v>60613</v>
      </c>
      <c r="H55">
        <v>64769</v>
      </c>
      <c r="I55">
        <v>35783</v>
      </c>
      <c r="J55">
        <v>52615</v>
      </c>
    </row>
    <row r="56" spans="1:10" x14ac:dyDescent="0.35">
      <c r="A56">
        <v>155</v>
      </c>
      <c r="B56" t="s">
        <v>114</v>
      </c>
      <c r="C56" t="s">
        <v>16</v>
      </c>
      <c r="D56" t="s">
        <v>12</v>
      </c>
      <c r="E56" t="s">
        <v>176</v>
      </c>
      <c r="F56" t="s">
        <v>177</v>
      </c>
      <c r="G56">
        <v>65240</v>
      </c>
      <c r="H56">
        <v>36390</v>
      </c>
      <c r="I56">
        <v>49939</v>
      </c>
      <c r="J56">
        <v>75397</v>
      </c>
    </row>
    <row r="57" spans="1:10" x14ac:dyDescent="0.35">
      <c r="A57">
        <v>156</v>
      </c>
      <c r="B57" t="s">
        <v>178</v>
      </c>
      <c r="C57" t="s">
        <v>27</v>
      </c>
      <c r="D57" t="s">
        <v>20</v>
      </c>
      <c r="E57" t="s">
        <v>179</v>
      </c>
      <c r="F57" t="s">
        <v>180</v>
      </c>
      <c r="G57">
        <v>76693</v>
      </c>
      <c r="H57">
        <v>64944</v>
      </c>
      <c r="I57">
        <v>71007</v>
      </c>
      <c r="J57">
        <v>68802</v>
      </c>
    </row>
    <row r="58" spans="1:10" x14ac:dyDescent="0.35">
      <c r="A58">
        <v>157</v>
      </c>
      <c r="B58" t="s">
        <v>181</v>
      </c>
      <c r="C58" t="s">
        <v>27</v>
      </c>
      <c r="D58" t="s">
        <v>43</v>
      </c>
      <c r="E58" t="s">
        <v>182</v>
      </c>
      <c r="F58" t="s">
        <v>183</v>
      </c>
      <c r="G58">
        <v>40246</v>
      </c>
      <c r="H58">
        <v>71682</v>
      </c>
      <c r="I58">
        <v>48889</v>
      </c>
      <c r="J58">
        <v>22186</v>
      </c>
    </row>
    <row r="59" spans="1:10" x14ac:dyDescent="0.35">
      <c r="A59">
        <v>158</v>
      </c>
      <c r="B59" t="s">
        <v>184</v>
      </c>
      <c r="C59" t="s">
        <v>55</v>
      </c>
      <c r="D59" t="s">
        <v>12</v>
      </c>
      <c r="E59" t="s">
        <v>185</v>
      </c>
      <c r="F59" t="s">
        <v>186</v>
      </c>
      <c r="G59">
        <v>36840</v>
      </c>
      <c r="H59">
        <v>79903</v>
      </c>
      <c r="I59">
        <v>74046</v>
      </c>
      <c r="J59">
        <v>51578</v>
      </c>
    </row>
    <row r="60" spans="1:10" x14ac:dyDescent="0.35">
      <c r="A60">
        <v>159</v>
      </c>
      <c r="B60" t="s">
        <v>187</v>
      </c>
      <c r="C60" t="s">
        <v>16</v>
      </c>
      <c r="D60" t="s">
        <v>28</v>
      </c>
      <c r="E60" t="s">
        <v>188</v>
      </c>
      <c r="F60" t="s">
        <v>189</v>
      </c>
      <c r="G60">
        <v>28099</v>
      </c>
      <c r="H60">
        <v>49804</v>
      </c>
      <c r="I60">
        <v>44155</v>
      </c>
      <c r="J60">
        <v>64094</v>
      </c>
    </row>
    <row r="61" spans="1:10" x14ac:dyDescent="0.35">
      <c r="A61">
        <v>160</v>
      </c>
      <c r="B61" t="s">
        <v>190</v>
      </c>
      <c r="C61" t="s">
        <v>55</v>
      </c>
      <c r="D61" t="s">
        <v>43</v>
      </c>
      <c r="E61" t="s">
        <v>191</v>
      </c>
      <c r="F61" t="s">
        <v>192</v>
      </c>
      <c r="G61">
        <v>29160</v>
      </c>
      <c r="H61">
        <v>22971</v>
      </c>
      <c r="I61">
        <v>22438</v>
      </c>
      <c r="J61">
        <v>39946</v>
      </c>
    </row>
    <row r="62" spans="1:10" x14ac:dyDescent="0.35">
      <c r="A62">
        <v>161</v>
      </c>
      <c r="B62" t="s">
        <v>193</v>
      </c>
      <c r="C62" t="s">
        <v>39</v>
      </c>
      <c r="D62" t="s">
        <v>43</v>
      </c>
      <c r="E62" t="s">
        <v>194</v>
      </c>
      <c r="F62" t="s">
        <v>195</v>
      </c>
      <c r="G62">
        <v>46746</v>
      </c>
      <c r="H62">
        <v>38333</v>
      </c>
      <c r="I62">
        <v>22144</v>
      </c>
      <c r="J62">
        <v>65238</v>
      </c>
    </row>
    <row r="63" spans="1:10" x14ac:dyDescent="0.35">
      <c r="A63">
        <v>162</v>
      </c>
      <c r="B63" t="s">
        <v>196</v>
      </c>
      <c r="C63" t="s">
        <v>16</v>
      </c>
      <c r="D63" t="s">
        <v>43</v>
      </c>
      <c r="E63" t="s">
        <v>197</v>
      </c>
      <c r="F63" t="s">
        <v>198</v>
      </c>
      <c r="G63">
        <v>26007</v>
      </c>
      <c r="H63">
        <v>63435</v>
      </c>
      <c r="I63">
        <v>33900</v>
      </c>
      <c r="J63">
        <v>62054</v>
      </c>
    </row>
    <row r="64" spans="1:10" x14ac:dyDescent="0.35">
      <c r="A64">
        <v>163</v>
      </c>
      <c r="B64" t="s">
        <v>199</v>
      </c>
      <c r="C64" t="s">
        <v>27</v>
      </c>
      <c r="D64" t="s">
        <v>12</v>
      </c>
      <c r="E64" t="s">
        <v>200</v>
      </c>
      <c r="F64" t="s">
        <v>201</v>
      </c>
      <c r="G64">
        <v>28519</v>
      </c>
      <c r="H64">
        <v>55403</v>
      </c>
      <c r="I64">
        <v>36426</v>
      </c>
      <c r="J64">
        <v>72331</v>
      </c>
    </row>
    <row r="65" spans="1:10" x14ac:dyDescent="0.35">
      <c r="A65">
        <v>164</v>
      </c>
      <c r="B65" t="s">
        <v>10</v>
      </c>
      <c r="C65" t="s">
        <v>39</v>
      </c>
      <c r="D65" t="s">
        <v>28</v>
      </c>
      <c r="E65" t="s">
        <v>202</v>
      </c>
      <c r="F65" t="s">
        <v>203</v>
      </c>
      <c r="G65">
        <v>27448</v>
      </c>
      <c r="H65">
        <v>68867</v>
      </c>
      <c r="I65">
        <v>24165</v>
      </c>
      <c r="J65">
        <v>51211</v>
      </c>
    </row>
    <row r="66" spans="1:10" x14ac:dyDescent="0.35">
      <c r="A66">
        <v>165</v>
      </c>
      <c r="B66" t="s">
        <v>204</v>
      </c>
      <c r="C66" t="s">
        <v>16</v>
      </c>
      <c r="D66" t="s">
        <v>43</v>
      </c>
      <c r="E66" t="s">
        <v>205</v>
      </c>
      <c r="F66" t="s">
        <v>206</v>
      </c>
      <c r="G66">
        <v>24816</v>
      </c>
      <c r="H66">
        <v>78934</v>
      </c>
      <c r="I66">
        <v>25294</v>
      </c>
      <c r="J66">
        <v>41109</v>
      </c>
    </row>
    <row r="67" spans="1:10" x14ac:dyDescent="0.35">
      <c r="A67">
        <v>166</v>
      </c>
      <c r="B67" t="s">
        <v>162</v>
      </c>
      <c r="C67" t="s">
        <v>39</v>
      </c>
      <c r="D67" t="s">
        <v>12</v>
      </c>
      <c r="E67" t="s">
        <v>207</v>
      </c>
      <c r="F67" t="s">
        <v>208</v>
      </c>
      <c r="G67">
        <v>75888</v>
      </c>
      <c r="H67">
        <v>62907</v>
      </c>
      <c r="I67">
        <v>62658</v>
      </c>
      <c r="J67">
        <v>77521</v>
      </c>
    </row>
    <row r="68" spans="1:10" x14ac:dyDescent="0.35">
      <c r="A68">
        <v>167</v>
      </c>
      <c r="B68" t="s">
        <v>209</v>
      </c>
      <c r="C68" t="s">
        <v>16</v>
      </c>
      <c r="D68" t="s">
        <v>43</v>
      </c>
      <c r="E68" t="s">
        <v>210</v>
      </c>
      <c r="F68" t="s">
        <v>211</v>
      </c>
      <c r="G68">
        <v>25978</v>
      </c>
      <c r="H68">
        <v>74511</v>
      </c>
      <c r="I68">
        <v>25594</v>
      </c>
      <c r="J68">
        <v>26109</v>
      </c>
    </row>
    <row r="69" spans="1:10" x14ac:dyDescent="0.35">
      <c r="A69">
        <v>168</v>
      </c>
      <c r="B69" t="s">
        <v>212</v>
      </c>
      <c r="C69" t="s">
        <v>27</v>
      </c>
      <c r="D69" t="s">
        <v>43</v>
      </c>
      <c r="E69" t="s">
        <v>213</v>
      </c>
      <c r="F69" t="s">
        <v>214</v>
      </c>
      <c r="G69">
        <v>40476</v>
      </c>
      <c r="H69">
        <v>43045</v>
      </c>
      <c r="I69">
        <v>26789</v>
      </c>
      <c r="J69">
        <v>57874</v>
      </c>
    </row>
    <row r="70" spans="1:10" x14ac:dyDescent="0.35">
      <c r="A70">
        <v>169</v>
      </c>
      <c r="B70" t="s">
        <v>215</v>
      </c>
      <c r="C70" t="s">
        <v>11</v>
      </c>
      <c r="D70" t="s">
        <v>20</v>
      </c>
      <c r="E70" t="s">
        <v>216</v>
      </c>
      <c r="F70" t="s">
        <v>217</v>
      </c>
      <c r="G70">
        <v>70294</v>
      </c>
      <c r="H70">
        <v>73636</v>
      </c>
      <c r="I70">
        <v>60745</v>
      </c>
      <c r="J70">
        <v>60211</v>
      </c>
    </row>
    <row r="71" spans="1:10" x14ac:dyDescent="0.35">
      <c r="A71">
        <v>170</v>
      </c>
      <c r="B71" t="s">
        <v>218</v>
      </c>
      <c r="C71" t="s">
        <v>55</v>
      </c>
      <c r="D71" t="s">
        <v>43</v>
      </c>
      <c r="E71" t="s">
        <v>219</v>
      </c>
      <c r="F71" t="s">
        <v>220</v>
      </c>
      <c r="G71">
        <v>26013</v>
      </c>
      <c r="H71">
        <v>68897</v>
      </c>
      <c r="I71">
        <v>54765</v>
      </c>
      <c r="J71">
        <v>34098</v>
      </c>
    </row>
    <row r="72" spans="1:10" x14ac:dyDescent="0.35">
      <c r="A72">
        <v>171</v>
      </c>
      <c r="B72" t="s">
        <v>98</v>
      </c>
      <c r="C72" t="s">
        <v>111</v>
      </c>
      <c r="D72" t="s">
        <v>43</v>
      </c>
      <c r="E72" t="s">
        <v>221</v>
      </c>
      <c r="F72" t="s">
        <v>222</v>
      </c>
      <c r="G72">
        <v>49039</v>
      </c>
      <c r="H72">
        <v>63380</v>
      </c>
      <c r="I72">
        <v>47788</v>
      </c>
      <c r="J72">
        <v>51828</v>
      </c>
    </row>
    <row r="73" spans="1:10" x14ac:dyDescent="0.35">
      <c r="A73">
        <v>172</v>
      </c>
      <c r="B73" t="s">
        <v>72</v>
      </c>
      <c r="C73" t="s">
        <v>111</v>
      </c>
      <c r="D73" t="s">
        <v>43</v>
      </c>
      <c r="E73" t="s">
        <v>223</v>
      </c>
      <c r="F73" t="s">
        <v>224</v>
      </c>
      <c r="G73">
        <v>59277</v>
      </c>
      <c r="H73">
        <v>23590</v>
      </c>
      <c r="I73">
        <v>20503</v>
      </c>
      <c r="J73">
        <v>33397</v>
      </c>
    </row>
    <row r="74" spans="1:10" x14ac:dyDescent="0.35">
      <c r="A74">
        <v>173</v>
      </c>
      <c r="B74" t="s">
        <v>215</v>
      </c>
      <c r="C74" t="s">
        <v>27</v>
      </c>
      <c r="D74" t="s">
        <v>12</v>
      </c>
      <c r="E74" t="s">
        <v>225</v>
      </c>
      <c r="F74" t="s">
        <v>226</v>
      </c>
      <c r="G74">
        <v>56616</v>
      </c>
      <c r="H74">
        <v>74614</v>
      </c>
      <c r="I74">
        <v>63781</v>
      </c>
      <c r="J74">
        <v>72835</v>
      </c>
    </row>
    <row r="75" spans="1:10" x14ac:dyDescent="0.35">
      <c r="A75">
        <v>174</v>
      </c>
      <c r="B75" t="s">
        <v>137</v>
      </c>
      <c r="C75" t="s">
        <v>27</v>
      </c>
      <c r="D75" t="s">
        <v>28</v>
      </c>
      <c r="E75" t="s">
        <v>227</v>
      </c>
      <c r="F75" t="s">
        <v>228</v>
      </c>
      <c r="G75">
        <v>46544</v>
      </c>
      <c r="H75">
        <v>21366</v>
      </c>
      <c r="I75">
        <v>41284</v>
      </c>
      <c r="J75">
        <v>31263</v>
      </c>
    </row>
    <row r="76" spans="1:10" x14ac:dyDescent="0.35">
      <c r="A76">
        <v>175</v>
      </c>
      <c r="B76" t="s">
        <v>229</v>
      </c>
      <c r="C76" t="s">
        <v>55</v>
      </c>
      <c r="D76" t="s">
        <v>20</v>
      </c>
      <c r="E76" t="s">
        <v>230</v>
      </c>
      <c r="F76" t="s">
        <v>231</v>
      </c>
      <c r="G76">
        <v>41827</v>
      </c>
      <c r="H76">
        <v>71060</v>
      </c>
      <c r="I76">
        <v>31018</v>
      </c>
      <c r="J76">
        <v>25005</v>
      </c>
    </row>
    <row r="77" spans="1:10" x14ac:dyDescent="0.35">
      <c r="A77">
        <v>176</v>
      </c>
      <c r="B77" t="s">
        <v>232</v>
      </c>
      <c r="C77" t="s">
        <v>27</v>
      </c>
      <c r="D77" t="s">
        <v>12</v>
      </c>
      <c r="E77" t="s">
        <v>233</v>
      </c>
      <c r="F77" t="s">
        <v>234</v>
      </c>
      <c r="G77">
        <v>70649</v>
      </c>
      <c r="H77">
        <v>61153</v>
      </c>
      <c r="I77">
        <v>52382</v>
      </c>
      <c r="J77">
        <v>50405</v>
      </c>
    </row>
    <row r="78" spans="1:10" x14ac:dyDescent="0.35">
      <c r="A78">
        <v>177</v>
      </c>
      <c r="B78" t="s">
        <v>235</v>
      </c>
      <c r="C78" t="s">
        <v>27</v>
      </c>
      <c r="D78" t="s">
        <v>12</v>
      </c>
      <c r="E78" t="s">
        <v>236</v>
      </c>
      <c r="F78" t="s">
        <v>237</v>
      </c>
      <c r="G78">
        <v>49616</v>
      </c>
      <c r="H78">
        <v>22464</v>
      </c>
      <c r="I78">
        <v>23728</v>
      </c>
      <c r="J78">
        <v>44165</v>
      </c>
    </row>
    <row r="79" spans="1:10" x14ac:dyDescent="0.35">
      <c r="A79">
        <v>178</v>
      </c>
      <c r="B79" t="s">
        <v>238</v>
      </c>
      <c r="C79" t="s">
        <v>32</v>
      </c>
      <c r="D79" t="s">
        <v>20</v>
      </c>
      <c r="E79" t="s">
        <v>239</v>
      </c>
      <c r="F79" t="s">
        <v>240</v>
      </c>
      <c r="G79">
        <v>26783</v>
      </c>
      <c r="H79">
        <v>73147</v>
      </c>
      <c r="I79">
        <v>78925</v>
      </c>
      <c r="J79">
        <v>74878</v>
      </c>
    </row>
    <row r="80" spans="1:10" x14ac:dyDescent="0.35">
      <c r="A80">
        <v>179</v>
      </c>
      <c r="B80" t="s">
        <v>60</v>
      </c>
      <c r="C80" t="s">
        <v>55</v>
      </c>
      <c r="D80" t="s">
        <v>43</v>
      </c>
      <c r="E80" t="s">
        <v>61</v>
      </c>
      <c r="F80" t="s">
        <v>241</v>
      </c>
      <c r="G80">
        <v>24319</v>
      </c>
      <c r="H80">
        <v>41606</v>
      </c>
      <c r="I80">
        <v>26193</v>
      </c>
      <c r="J80">
        <v>56566</v>
      </c>
    </row>
    <row r="81" spans="1:10" x14ac:dyDescent="0.35">
      <c r="A81">
        <v>180</v>
      </c>
      <c r="B81" t="s">
        <v>242</v>
      </c>
      <c r="C81" t="s">
        <v>11</v>
      </c>
      <c r="D81" t="s">
        <v>43</v>
      </c>
      <c r="E81" t="s">
        <v>243</v>
      </c>
      <c r="F81" t="s">
        <v>244</v>
      </c>
      <c r="G81">
        <v>53324</v>
      </c>
      <c r="H81">
        <v>43712</v>
      </c>
      <c r="I81">
        <v>21194</v>
      </c>
      <c r="J81">
        <v>43763</v>
      </c>
    </row>
    <row r="82" spans="1:10" x14ac:dyDescent="0.35">
      <c r="A82">
        <v>181</v>
      </c>
      <c r="B82" t="s">
        <v>245</v>
      </c>
      <c r="C82" t="s">
        <v>111</v>
      </c>
      <c r="D82" t="s">
        <v>20</v>
      </c>
      <c r="E82" t="s">
        <v>246</v>
      </c>
      <c r="F82" t="s">
        <v>247</v>
      </c>
      <c r="G82">
        <v>77435</v>
      </c>
      <c r="H82">
        <v>70220</v>
      </c>
      <c r="I82">
        <v>60503</v>
      </c>
      <c r="J82">
        <v>28588</v>
      </c>
    </row>
    <row r="83" spans="1:10" x14ac:dyDescent="0.35">
      <c r="A83">
        <v>182</v>
      </c>
      <c r="B83" t="s">
        <v>248</v>
      </c>
      <c r="C83" t="s">
        <v>39</v>
      </c>
      <c r="D83" t="s">
        <v>43</v>
      </c>
      <c r="E83" t="s">
        <v>249</v>
      </c>
      <c r="F83" t="s">
        <v>250</v>
      </c>
      <c r="G83">
        <v>38673</v>
      </c>
      <c r="H83">
        <v>69308</v>
      </c>
      <c r="I83">
        <v>69056</v>
      </c>
      <c r="J83">
        <v>71367</v>
      </c>
    </row>
    <row r="84" spans="1:10" x14ac:dyDescent="0.35">
      <c r="A84">
        <v>183</v>
      </c>
      <c r="B84" t="s">
        <v>251</v>
      </c>
      <c r="C84" t="s">
        <v>111</v>
      </c>
      <c r="D84" t="s">
        <v>20</v>
      </c>
      <c r="E84" t="s">
        <v>252</v>
      </c>
      <c r="F84" t="s">
        <v>253</v>
      </c>
      <c r="G84">
        <v>23419</v>
      </c>
      <c r="H84">
        <v>62020</v>
      </c>
      <c r="I84">
        <v>51495</v>
      </c>
      <c r="J84">
        <v>77286</v>
      </c>
    </row>
    <row r="85" spans="1:10" x14ac:dyDescent="0.35">
      <c r="A85">
        <v>184</v>
      </c>
      <c r="B85" t="s">
        <v>193</v>
      </c>
      <c r="C85" t="s">
        <v>111</v>
      </c>
      <c r="D85" t="s">
        <v>28</v>
      </c>
      <c r="E85" t="s">
        <v>254</v>
      </c>
      <c r="F85" t="s">
        <v>255</v>
      </c>
      <c r="G85">
        <v>47190</v>
      </c>
      <c r="H85">
        <v>23490</v>
      </c>
      <c r="I85">
        <v>45982</v>
      </c>
      <c r="J85">
        <v>52899</v>
      </c>
    </row>
    <row r="86" spans="1:10" x14ac:dyDescent="0.35">
      <c r="A86">
        <v>185</v>
      </c>
      <c r="B86" t="s">
        <v>256</v>
      </c>
      <c r="C86" t="s">
        <v>55</v>
      </c>
      <c r="D86" t="s">
        <v>12</v>
      </c>
      <c r="E86" t="s">
        <v>257</v>
      </c>
      <c r="F86" t="s">
        <v>258</v>
      </c>
      <c r="G86">
        <v>69731</v>
      </c>
      <c r="H86">
        <v>66238</v>
      </c>
      <c r="I86">
        <v>50743</v>
      </c>
      <c r="J86">
        <v>49399</v>
      </c>
    </row>
    <row r="87" spans="1:10" x14ac:dyDescent="0.35">
      <c r="A87">
        <v>186</v>
      </c>
      <c r="B87" t="s">
        <v>259</v>
      </c>
      <c r="C87" t="s">
        <v>55</v>
      </c>
      <c r="D87" t="s">
        <v>12</v>
      </c>
      <c r="E87" t="s">
        <v>260</v>
      </c>
      <c r="F87" t="s">
        <v>261</v>
      </c>
      <c r="G87">
        <v>23129</v>
      </c>
      <c r="H87">
        <v>35626</v>
      </c>
      <c r="I87">
        <v>47513</v>
      </c>
      <c r="J87">
        <v>61874</v>
      </c>
    </row>
    <row r="88" spans="1:10" x14ac:dyDescent="0.35">
      <c r="A88">
        <v>187</v>
      </c>
      <c r="B88" t="s">
        <v>262</v>
      </c>
      <c r="C88" t="s">
        <v>55</v>
      </c>
      <c r="D88" t="s">
        <v>20</v>
      </c>
      <c r="E88" t="s">
        <v>263</v>
      </c>
      <c r="F88" t="s">
        <v>264</v>
      </c>
      <c r="G88">
        <v>35765</v>
      </c>
      <c r="H88">
        <v>57399</v>
      </c>
      <c r="I88">
        <v>47300</v>
      </c>
      <c r="J88">
        <v>32275</v>
      </c>
    </row>
    <row r="89" spans="1:10" x14ac:dyDescent="0.35">
      <c r="A89">
        <v>188</v>
      </c>
      <c r="B89" t="s">
        <v>265</v>
      </c>
      <c r="C89" t="s">
        <v>32</v>
      </c>
      <c r="D89" t="s">
        <v>28</v>
      </c>
      <c r="E89" t="s">
        <v>266</v>
      </c>
      <c r="F89" t="s">
        <v>267</v>
      </c>
      <c r="G89">
        <v>68034</v>
      </c>
      <c r="H89">
        <v>63063</v>
      </c>
      <c r="I89">
        <v>61173</v>
      </c>
      <c r="J89">
        <v>26793</v>
      </c>
    </row>
    <row r="90" spans="1:10" x14ac:dyDescent="0.35">
      <c r="A90">
        <v>189</v>
      </c>
      <c r="B90" t="s">
        <v>268</v>
      </c>
      <c r="C90" t="s">
        <v>55</v>
      </c>
      <c r="D90" t="s">
        <v>12</v>
      </c>
      <c r="E90" t="s">
        <v>269</v>
      </c>
      <c r="F90" t="s">
        <v>270</v>
      </c>
      <c r="G90">
        <v>66926</v>
      </c>
      <c r="H90">
        <v>70868</v>
      </c>
      <c r="I90">
        <v>49994</v>
      </c>
      <c r="J90">
        <v>22423</v>
      </c>
    </row>
    <row r="91" spans="1:10" x14ac:dyDescent="0.35">
      <c r="A91">
        <v>190</v>
      </c>
      <c r="B91" t="s">
        <v>271</v>
      </c>
      <c r="C91" t="s">
        <v>27</v>
      </c>
      <c r="D91" t="s">
        <v>43</v>
      </c>
      <c r="E91" t="s">
        <v>272</v>
      </c>
      <c r="F91" t="s">
        <v>273</v>
      </c>
      <c r="G91">
        <v>76740</v>
      </c>
      <c r="H91">
        <v>62974</v>
      </c>
      <c r="I91">
        <v>41753</v>
      </c>
      <c r="J91">
        <v>37905</v>
      </c>
    </row>
    <row r="92" spans="1:10" x14ac:dyDescent="0.35">
      <c r="A92">
        <v>191</v>
      </c>
      <c r="B92" t="s">
        <v>274</v>
      </c>
      <c r="C92" t="s">
        <v>16</v>
      </c>
      <c r="D92" t="s">
        <v>20</v>
      </c>
      <c r="E92" t="s">
        <v>275</v>
      </c>
      <c r="F92" t="s">
        <v>276</v>
      </c>
      <c r="G92">
        <v>48220</v>
      </c>
      <c r="H92">
        <v>59482</v>
      </c>
      <c r="I92">
        <v>73892</v>
      </c>
      <c r="J92">
        <v>31826</v>
      </c>
    </row>
    <row r="93" spans="1:10" x14ac:dyDescent="0.35">
      <c r="A93">
        <v>192</v>
      </c>
      <c r="B93" t="s">
        <v>277</v>
      </c>
      <c r="C93" t="s">
        <v>55</v>
      </c>
      <c r="D93" t="s">
        <v>28</v>
      </c>
      <c r="E93" t="s">
        <v>278</v>
      </c>
      <c r="F93" t="s">
        <v>279</v>
      </c>
      <c r="G93">
        <v>60294</v>
      </c>
      <c r="H93">
        <v>48504</v>
      </c>
      <c r="I93">
        <v>37993</v>
      </c>
      <c r="J93">
        <v>61908</v>
      </c>
    </row>
    <row r="94" spans="1:10" x14ac:dyDescent="0.35">
      <c r="A94">
        <v>193</v>
      </c>
      <c r="B94" t="s">
        <v>137</v>
      </c>
      <c r="C94" t="s">
        <v>111</v>
      </c>
      <c r="D94" t="s">
        <v>43</v>
      </c>
      <c r="E94" t="s">
        <v>280</v>
      </c>
      <c r="F94" t="s">
        <v>281</v>
      </c>
      <c r="G94">
        <v>64503</v>
      </c>
      <c r="H94">
        <v>49486</v>
      </c>
      <c r="I94">
        <v>44311</v>
      </c>
      <c r="J94">
        <v>44380</v>
      </c>
    </row>
    <row r="95" spans="1:10" x14ac:dyDescent="0.35">
      <c r="A95">
        <v>194</v>
      </c>
      <c r="B95" t="s">
        <v>282</v>
      </c>
      <c r="C95" t="s">
        <v>32</v>
      </c>
      <c r="D95" t="s">
        <v>12</v>
      </c>
      <c r="E95" t="s">
        <v>283</v>
      </c>
      <c r="F95" t="s">
        <v>284</v>
      </c>
      <c r="G95">
        <v>70788</v>
      </c>
      <c r="H95">
        <v>37058</v>
      </c>
      <c r="I95">
        <v>66139</v>
      </c>
      <c r="J95">
        <v>49246</v>
      </c>
    </row>
    <row r="96" spans="1:10" x14ac:dyDescent="0.35">
      <c r="A96">
        <v>195</v>
      </c>
      <c r="B96" t="s">
        <v>285</v>
      </c>
      <c r="C96" t="s">
        <v>39</v>
      </c>
      <c r="D96" t="s">
        <v>28</v>
      </c>
      <c r="E96" t="s">
        <v>286</v>
      </c>
      <c r="F96" t="s">
        <v>287</v>
      </c>
      <c r="G96">
        <v>55531</v>
      </c>
      <c r="H96">
        <v>39029</v>
      </c>
      <c r="I96">
        <v>78414</v>
      </c>
      <c r="J96">
        <v>39657</v>
      </c>
    </row>
    <row r="97" spans="1:10" x14ac:dyDescent="0.35">
      <c r="A97">
        <v>196</v>
      </c>
      <c r="B97" t="s">
        <v>288</v>
      </c>
      <c r="C97" t="s">
        <v>32</v>
      </c>
      <c r="D97" t="s">
        <v>43</v>
      </c>
      <c r="E97" t="s">
        <v>289</v>
      </c>
      <c r="F97" t="s">
        <v>290</v>
      </c>
      <c r="G97">
        <v>40269</v>
      </c>
      <c r="H97">
        <v>46093</v>
      </c>
      <c r="I97">
        <v>66984</v>
      </c>
      <c r="J97">
        <v>67111</v>
      </c>
    </row>
    <row r="98" spans="1:10" x14ac:dyDescent="0.35">
      <c r="A98">
        <v>197</v>
      </c>
      <c r="B98" t="s">
        <v>291</v>
      </c>
      <c r="C98" t="s">
        <v>27</v>
      </c>
      <c r="D98" t="s">
        <v>28</v>
      </c>
      <c r="E98" t="s">
        <v>292</v>
      </c>
      <c r="F98" t="s">
        <v>293</v>
      </c>
      <c r="G98">
        <v>79684</v>
      </c>
      <c r="H98">
        <v>76899</v>
      </c>
      <c r="I98">
        <v>23631</v>
      </c>
      <c r="J98">
        <v>74486</v>
      </c>
    </row>
    <row r="99" spans="1:10" x14ac:dyDescent="0.35">
      <c r="A99">
        <v>198</v>
      </c>
      <c r="B99" t="s">
        <v>294</v>
      </c>
      <c r="C99" t="s">
        <v>39</v>
      </c>
      <c r="D99" t="s">
        <v>43</v>
      </c>
      <c r="E99" t="s">
        <v>295</v>
      </c>
      <c r="F99" t="s">
        <v>296</v>
      </c>
      <c r="G99">
        <v>60961</v>
      </c>
      <c r="H99">
        <v>39845</v>
      </c>
      <c r="I99">
        <v>60267</v>
      </c>
      <c r="J99">
        <v>54962</v>
      </c>
    </row>
    <row r="100" spans="1:10" x14ac:dyDescent="0.35">
      <c r="A100">
        <v>199</v>
      </c>
      <c r="B100" t="s">
        <v>297</v>
      </c>
      <c r="C100" t="s">
        <v>39</v>
      </c>
      <c r="D100" t="s">
        <v>12</v>
      </c>
      <c r="E100" t="s">
        <v>298</v>
      </c>
      <c r="F100" t="s">
        <v>299</v>
      </c>
      <c r="G100">
        <v>38983</v>
      </c>
      <c r="H100">
        <v>62068</v>
      </c>
      <c r="I100">
        <v>39798</v>
      </c>
      <c r="J100">
        <v>51650</v>
      </c>
    </row>
    <row r="101" spans="1:10" x14ac:dyDescent="0.35">
      <c r="A101">
        <v>200</v>
      </c>
      <c r="B101" t="s">
        <v>86</v>
      </c>
      <c r="C101" t="s">
        <v>16</v>
      </c>
      <c r="D101" t="s">
        <v>28</v>
      </c>
      <c r="E101" t="s">
        <v>300</v>
      </c>
      <c r="F101" t="s">
        <v>301</v>
      </c>
      <c r="G101">
        <v>46130</v>
      </c>
      <c r="H101">
        <v>28569</v>
      </c>
      <c r="I101">
        <v>69850</v>
      </c>
      <c r="J101">
        <v>44283</v>
      </c>
    </row>
    <row r="102" spans="1:10" x14ac:dyDescent="0.35">
      <c r="A102">
        <v>201</v>
      </c>
      <c r="B102" t="s">
        <v>302</v>
      </c>
      <c r="C102" t="s">
        <v>39</v>
      </c>
      <c r="D102" t="s">
        <v>20</v>
      </c>
      <c r="E102" t="s">
        <v>303</v>
      </c>
      <c r="F102" t="s">
        <v>304</v>
      </c>
      <c r="G102">
        <v>52654</v>
      </c>
      <c r="H102">
        <v>53733</v>
      </c>
      <c r="I102">
        <v>50593</v>
      </c>
      <c r="J102">
        <v>52686</v>
      </c>
    </row>
    <row r="103" spans="1:10" x14ac:dyDescent="0.35">
      <c r="A103">
        <v>202</v>
      </c>
      <c r="B103" t="s">
        <v>305</v>
      </c>
      <c r="C103" t="s">
        <v>55</v>
      </c>
      <c r="D103" t="s">
        <v>20</v>
      </c>
      <c r="E103" t="s">
        <v>306</v>
      </c>
      <c r="F103" t="s">
        <v>307</v>
      </c>
      <c r="G103">
        <v>55172</v>
      </c>
      <c r="H103">
        <v>20535</v>
      </c>
      <c r="I103">
        <v>75520</v>
      </c>
      <c r="J103">
        <v>27044</v>
      </c>
    </row>
    <row r="104" spans="1:10" x14ac:dyDescent="0.35">
      <c r="A104">
        <v>203</v>
      </c>
      <c r="B104" t="s">
        <v>308</v>
      </c>
      <c r="C104" t="s">
        <v>11</v>
      </c>
      <c r="D104" t="s">
        <v>12</v>
      </c>
      <c r="E104" t="s">
        <v>309</v>
      </c>
      <c r="F104" t="s">
        <v>310</v>
      </c>
      <c r="G104">
        <v>38331</v>
      </c>
      <c r="H104">
        <v>74087</v>
      </c>
      <c r="I104">
        <v>60844</v>
      </c>
      <c r="J104">
        <v>64590</v>
      </c>
    </row>
    <row r="105" spans="1:10" x14ac:dyDescent="0.35">
      <c r="A105">
        <v>204</v>
      </c>
      <c r="B105" t="s">
        <v>311</v>
      </c>
      <c r="C105" t="s">
        <v>55</v>
      </c>
      <c r="D105" t="s">
        <v>20</v>
      </c>
      <c r="E105" t="s">
        <v>312</v>
      </c>
      <c r="F105" t="s">
        <v>313</v>
      </c>
      <c r="G105">
        <v>28980</v>
      </c>
      <c r="H105">
        <v>66765</v>
      </c>
      <c r="I105">
        <v>41826</v>
      </c>
      <c r="J105">
        <v>72688</v>
      </c>
    </row>
    <row r="106" spans="1:10" x14ac:dyDescent="0.35">
      <c r="A106">
        <v>205</v>
      </c>
      <c r="B106" t="s">
        <v>314</v>
      </c>
      <c r="C106" t="s">
        <v>32</v>
      </c>
      <c r="D106" t="s">
        <v>43</v>
      </c>
      <c r="E106" t="s">
        <v>315</v>
      </c>
      <c r="F106" t="s">
        <v>316</v>
      </c>
      <c r="G106">
        <v>39647</v>
      </c>
      <c r="H106">
        <v>51122</v>
      </c>
      <c r="I106">
        <v>73460</v>
      </c>
      <c r="J106">
        <v>21090</v>
      </c>
    </row>
    <row r="107" spans="1:10" x14ac:dyDescent="0.35">
      <c r="A107">
        <v>206</v>
      </c>
      <c r="B107" t="s">
        <v>187</v>
      </c>
      <c r="C107" t="s">
        <v>16</v>
      </c>
      <c r="D107" t="s">
        <v>12</v>
      </c>
      <c r="E107" t="s">
        <v>317</v>
      </c>
      <c r="F107" t="s">
        <v>318</v>
      </c>
      <c r="G107">
        <v>54356</v>
      </c>
      <c r="H107">
        <v>61223</v>
      </c>
      <c r="I107">
        <v>67263</v>
      </c>
      <c r="J107">
        <v>60615</v>
      </c>
    </row>
    <row r="108" spans="1:10" x14ac:dyDescent="0.35">
      <c r="A108">
        <v>207</v>
      </c>
      <c r="B108" t="s">
        <v>114</v>
      </c>
      <c r="C108" t="s">
        <v>55</v>
      </c>
      <c r="D108" t="s">
        <v>28</v>
      </c>
      <c r="E108" t="s">
        <v>319</v>
      </c>
      <c r="F108" t="s">
        <v>320</v>
      </c>
      <c r="G108">
        <v>66253</v>
      </c>
      <c r="H108">
        <v>29049</v>
      </c>
      <c r="I108">
        <v>53992</v>
      </c>
      <c r="J108">
        <v>33588</v>
      </c>
    </row>
    <row r="109" spans="1:10" x14ac:dyDescent="0.35">
      <c r="A109">
        <v>208</v>
      </c>
      <c r="B109" t="s">
        <v>321</v>
      </c>
      <c r="C109" t="s">
        <v>32</v>
      </c>
      <c r="D109" t="s">
        <v>20</v>
      </c>
      <c r="E109" t="s">
        <v>322</v>
      </c>
      <c r="F109" t="s">
        <v>323</v>
      </c>
      <c r="G109">
        <v>39562</v>
      </c>
      <c r="H109">
        <v>34736</v>
      </c>
      <c r="I109">
        <v>39504</v>
      </c>
      <c r="J109">
        <v>70539</v>
      </c>
    </row>
    <row r="110" spans="1:10" x14ac:dyDescent="0.35">
      <c r="A110">
        <v>209</v>
      </c>
      <c r="B110" t="s">
        <v>324</v>
      </c>
      <c r="C110" t="s">
        <v>111</v>
      </c>
      <c r="D110" t="s">
        <v>20</v>
      </c>
      <c r="E110" t="s">
        <v>325</v>
      </c>
      <c r="F110" t="s">
        <v>326</v>
      </c>
      <c r="G110">
        <v>22756</v>
      </c>
      <c r="H110">
        <v>38850</v>
      </c>
      <c r="I110">
        <v>66801</v>
      </c>
      <c r="J110">
        <v>25179</v>
      </c>
    </row>
    <row r="111" spans="1:10" x14ac:dyDescent="0.35">
      <c r="A111">
        <v>210</v>
      </c>
      <c r="B111" t="s">
        <v>327</v>
      </c>
      <c r="C111" t="s">
        <v>11</v>
      </c>
      <c r="D111" t="s">
        <v>20</v>
      </c>
      <c r="E111" t="s">
        <v>328</v>
      </c>
      <c r="F111" t="s">
        <v>329</v>
      </c>
      <c r="G111">
        <v>34789</v>
      </c>
      <c r="H111">
        <v>61808</v>
      </c>
      <c r="I111">
        <v>35259</v>
      </c>
      <c r="J111">
        <v>23440</v>
      </c>
    </row>
    <row r="112" spans="1:10" x14ac:dyDescent="0.35">
      <c r="A112">
        <v>211</v>
      </c>
      <c r="B112" t="s">
        <v>330</v>
      </c>
      <c r="C112" t="s">
        <v>11</v>
      </c>
      <c r="D112" t="s">
        <v>20</v>
      </c>
      <c r="E112" t="s">
        <v>331</v>
      </c>
      <c r="F112" t="s">
        <v>332</v>
      </c>
      <c r="G112">
        <v>62329</v>
      </c>
      <c r="H112">
        <v>23877</v>
      </c>
      <c r="I112">
        <v>79502</v>
      </c>
      <c r="J112">
        <v>70379</v>
      </c>
    </row>
    <row r="113" spans="1:10" x14ac:dyDescent="0.35">
      <c r="A113">
        <v>212</v>
      </c>
      <c r="B113" t="s">
        <v>333</v>
      </c>
      <c r="C113" t="s">
        <v>39</v>
      </c>
      <c r="D113" t="s">
        <v>20</v>
      </c>
      <c r="E113" t="s">
        <v>334</v>
      </c>
      <c r="F113" t="s">
        <v>335</v>
      </c>
      <c r="G113">
        <v>59503</v>
      </c>
      <c r="H113">
        <v>27032</v>
      </c>
      <c r="I113">
        <v>41957</v>
      </c>
      <c r="J113">
        <v>38649</v>
      </c>
    </row>
    <row r="114" spans="1:10" x14ac:dyDescent="0.35">
      <c r="A114">
        <v>213</v>
      </c>
      <c r="B114" t="s">
        <v>336</v>
      </c>
      <c r="C114" t="s">
        <v>27</v>
      </c>
      <c r="D114" t="s">
        <v>20</v>
      </c>
      <c r="E114" t="s">
        <v>337</v>
      </c>
      <c r="F114" t="s">
        <v>338</v>
      </c>
      <c r="G114">
        <v>71823</v>
      </c>
      <c r="H114">
        <v>39334</v>
      </c>
      <c r="I114">
        <v>57210</v>
      </c>
      <c r="J114">
        <v>64197</v>
      </c>
    </row>
    <row r="115" spans="1:10" x14ac:dyDescent="0.35">
      <c r="A115">
        <v>214</v>
      </c>
      <c r="B115" t="s">
        <v>339</v>
      </c>
      <c r="C115" t="s">
        <v>27</v>
      </c>
      <c r="D115" t="s">
        <v>20</v>
      </c>
      <c r="E115" t="s">
        <v>340</v>
      </c>
      <c r="F115" t="s">
        <v>341</v>
      </c>
      <c r="G115">
        <v>37090</v>
      </c>
      <c r="H115">
        <v>45137</v>
      </c>
      <c r="I115">
        <v>35435</v>
      </c>
      <c r="J115">
        <v>49277</v>
      </c>
    </row>
    <row r="116" spans="1:10" x14ac:dyDescent="0.35">
      <c r="A116">
        <v>215</v>
      </c>
      <c r="B116" t="s">
        <v>342</v>
      </c>
      <c r="C116" t="s">
        <v>32</v>
      </c>
      <c r="D116" t="s">
        <v>28</v>
      </c>
      <c r="E116" t="s">
        <v>343</v>
      </c>
      <c r="F116" t="s">
        <v>344</v>
      </c>
      <c r="G116">
        <v>78662</v>
      </c>
      <c r="H116">
        <v>78182</v>
      </c>
      <c r="I116">
        <v>66108</v>
      </c>
      <c r="J116">
        <v>70452</v>
      </c>
    </row>
    <row r="117" spans="1:10" x14ac:dyDescent="0.35">
      <c r="A117">
        <v>216</v>
      </c>
      <c r="B117" t="s">
        <v>345</v>
      </c>
      <c r="C117" t="s">
        <v>111</v>
      </c>
      <c r="D117" t="s">
        <v>43</v>
      </c>
      <c r="E117" t="s">
        <v>346</v>
      </c>
      <c r="F117" t="s">
        <v>347</v>
      </c>
      <c r="G117">
        <v>64586</v>
      </c>
      <c r="H117">
        <v>69462</v>
      </c>
      <c r="I117">
        <v>59047</v>
      </c>
      <c r="J117">
        <v>77221</v>
      </c>
    </row>
    <row r="118" spans="1:10" x14ac:dyDescent="0.35">
      <c r="A118">
        <v>217</v>
      </c>
      <c r="B118" t="s">
        <v>229</v>
      </c>
      <c r="C118" t="s">
        <v>55</v>
      </c>
      <c r="D118" t="s">
        <v>28</v>
      </c>
      <c r="E118" t="s">
        <v>230</v>
      </c>
      <c r="F118" t="s">
        <v>348</v>
      </c>
      <c r="G118">
        <v>66983</v>
      </c>
      <c r="H118">
        <v>58217</v>
      </c>
      <c r="I118">
        <v>52035</v>
      </c>
      <c r="J118">
        <v>25959</v>
      </c>
    </row>
    <row r="119" spans="1:10" x14ac:dyDescent="0.35">
      <c r="A119">
        <v>218</v>
      </c>
      <c r="B119" t="s">
        <v>52</v>
      </c>
      <c r="C119" t="s">
        <v>16</v>
      </c>
      <c r="D119" t="s">
        <v>43</v>
      </c>
      <c r="E119" t="s">
        <v>158</v>
      </c>
      <c r="F119" t="s">
        <v>349</v>
      </c>
      <c r="G119">
        <v>68877</v>
      </c>
      <c r="H119">
        <v>34280</v>
      </c>
      <c r="I119">
        <v>57900</v>
      </c>
      <c r="J119">
        <v>24786</v>
      </c>
    </row>
    <row r="120" spans="1:10" x14ac:dyDescent="0.35">
      <c r="A120">
        <v>219</v>
      </c>
      <c r="B120" t="s">
        <v>350</v>
      </c>
      <c r="C120" t="s">
        <v>11</v>
      </c>
      <c r="D120" t="s">
        <v>28</v>
      </c>
      <c r="E120" t="s">
        <v>351</v>
      </c>
      <c r="F120" t="s">
        <v>352</v>
      </c>
      <c r="G120">
        <v>49395</v>
      </c>
      <c r="H120">
        <v>76991</v>
      </c>
      <c r="I120">
        <v>79425</v>
      </c>
      <c r="J120">
        <v>44739</v>
      </c>
    </row>
    <row r="121" spans="1:10" x14ac:dyDescent="0.35">
      <c r="A121">
        <v>220</v>
      </c>
      <c r="B121" t="s">
        <v>282</v>
      </c>
      <c r="C121" t="s">
        <v>11</v>
      </c>
      <c r="D121" t="s">
        <v>12</v>
      </c>
      <c r="E121" t="s">
        <v>353</v>
      </c>
      <c r="F121" t="s">
        <v>354</v>
      </c>
      <c r="G121">
        <v>50343</v>
      </c>
      <c r="H121">
        <v>64138</v>
      </c>
      <c r="I121">
        <v>67126</v>
      </c>
      <c r="J121">
        <v>55680</v>
      </c>
    </row>
    <row r="122" spans="1:10" x14ac:dyDescent="0.35">
      <c r="A122">
        <v>221</v>
      </c>
      <c r="B122" t="s">
        <v>355</v>
      </c>
      <c r="C122" t="s">
        <v>39</v>
      </c>
      <c r="D122" t="s">
        <v>20</v>
      </c>
      <c r="E122" t="s">
        <v>356</v>
      </c>
      <c r="F122" t="s">
        <v>357</v>
      </c>
      <c r="G122">
        <v>26612</v>
      </c>
      <c r="H122">
        <v>58924</v>
      </c>
      <c r="I122">
        <v>22200</v>
      </c>
      <c r="J122">
        <v>49257</v>
      </c>
    </row>
    <row r="123" spans="1:10" x14ac:dyDescent="0.35">
      <c r="A123">
        <v>222</v>
      </c>
      <c r="B123" t="s">
        <v>358</v>
      </c>
      <c r="C123" t="s">
        <v>11</v>
      </c>
      <c r="D123" t="s">
        <v>28</v>
      </c>
      <c r="E123" t="s">
        <v>359</v>
      </c>
      <c r="F123" t="s">
        <v>360</v>
      </c>
      <c r="G123">
        <v>77426</v>
      </c>
      <c r="H123">
        <v>29388</v>
      </c>
      <c r="I123">
        <v>63267</v>
      </c>
      <c r="J123">
        <v>54160</v>
      </c>
    </row>
    <row r="124" spans="1:10" x14ac:dyDescent="0.35">
      <c r="A124">
        <v>223</v>
      </c>
      <c r="B124" t="s">
        <v>140</v>
      </c>
      <c r="C124" t="s">
        <v>111</v>
      </c>
      <c r="D124" t="s">
        <v>28</v>
      </c>
      <c r="E124" t="s">
        <v>141</v>
      </c>
      <c r="F124" t="s">
        <v>361</v>
      </c>
      <c r="G124">
        <v>40888</v>
      </c>
      <c r="H124">
        <v>65633</v>
      </c>
      <c r="I124">
        <v>47284</v>
      </c>
      <c r="J124">
        <v>46755</v>
      </c>
    </row>
    <row r="125" spans="1:10" x14ac:dyDescent="0.35">
      <c r="A125">
        <v>224</v>
      </c>
      <c r="B125" t="s">
        <v>362</v>
      </c>
      <c r="C125" t="s">
        <v>39</v>
      </c>
      <c r="D125" t="s">
        <v>20</v>
      </c>
      <c r="E125" t="s">
        <v>363</v>
      </c>
      <c r="F125" t="s">
        <v>364</v>
      </c>
      <c r="G125">
        <v>54733</v>
      </c>
      <c r="H125">
        <v>28787</v>
      </c>
      <c r="I125">
        <v>45455</v>
      </c>
      <c r="J125">
        <v>35915</v>
      </c>
    </row>
    <row r="126" spans="1:10" x14ac:dyDescent="0.35">
      <c r="A126">
        <v>225</v>
      </c>
      <c r="B126" t="s">
        <v>69</v>
      </c>
      <c r="C126" t="s">
        <v>11</v>
      </c>
      <c r="D126" t="s">
        <v>28</v>
      </c>
      <c r="E126" t="s">
        <v>365</v>
      </c>
      <c r="F126" t="s">
        <v>366</v>
      </c>
      <c r="G126">
        <v>72733</v>
      </c>
      <c r="H126">
        <v>69918</v>
      </c>
      <c r="I126">
        <v>58507</v>
      </c>
      <c r="J126">
        <v>67468</v>
      </c>
    </row>
    <row r="127" spans="1:10" x14ac:dyDescent="0.35">
      <c r="A127">
        <v>226</v>
      </c>
      <c r="B127" t="s">
        <v>324</v>
      </c>
      <c r="C127" t="s">
        <v>39</v>
      </c>
      <c r="D127" t="s">
        <v>12</v>
      </c>
      <c r="E127" t="s">
        <v>325</v>
      </c>
      <c r="F127" t="s">
        <v>367</v>
      </c>
      <c r="G127">
        <v>54973</v>
      </c>
      <c r="H127">
        <v>62514</v>
      </c>
      <c r="I127">
        <v>43544</v>
      </c>
      <c r="J127">
        <v>40212</v>
      </c>
    </row>
    <row r="128" spans="1:10" x14ac:dyDescent="0.35">
      <c r="A128">
        <v>227</v>
      </c>
      <c r="B128" t="s">
        <v>128</v>
      </c>
      <c r="C128" t="s">
        <v>16</v>
      </c>
      <c r="D128" t="s">
        <v>28</v>
      </c>
      <c r="E128" t="s">
        <v>368</v>
      </c>
      <c r="F128" t="s">
        <v>369</v>
      </c>
      <c r="G128">
        <v>37090</v>
      </c>
      <c r="H128">
        <v>56261</v>
      </c>
      <c r="I128">
        <v>58275</v>
      </c>
      <c r="J128">
        <v>57954</v>
      </c>
    </row>
    <row r="129" spans="1:10" x14ac:dyDescent="0.35">
      <c r="A129">
        <v>228</v>
      </c>
      <c r="B129" t="s">
        <v>370</v>
      </c>
      <c r="C129" t="s">
        <v>39</v>
      </c>
      <c r="D129" t="s">
        <v>12</v>
      </c>
      <c r="E129" t="s">
        <v>371</v>
      </c>
      <c r="F129" t="s">
        <v>372</v>
      </c>
      <c r="G129">
        <v>31092</v>
      </c>
      <c r="H129">
        <v>29172</v>
      </c>
      <c r="I129">
        <v>67206</v>
      </c>
      <c r="J129">
        <v>55818</v>
      </c>
    </row>
    <row r="130" spans="1:10" x14ac:dyDescent="0.35">
      <c r="A130">
        <v>229</v>
      </c>
      <c r="B130" t="s">
        <v>373</v>
      </c>
      <c r="C130" t="s">
        <v>32</v>
      </c>
      <c r="D130" t="s">
        <v>28</v>
      </c>
      <c r="E130" t="s">
        <v>374</v>
      </c>
      <c r="F130" t="s">
        <v>375</v>
      </c>
      <c r="G130">
        <v>49885</v>
      </c>
      <c r="H130">
        <v>44458</v>
      </c>
      <c r="I130">
        <v>23961</v>
      </c>
      <c r="J130">
        <v>60490</v>
      </c>
    </row>
    <row r="131" spans="1:10" x14ac:dyDescent="0.35">
      <c r="A131">
        <v>230</v>
      </c>
      <c r="B131" t="s">
        <v>376</v>
      </c>
      <c r="C131" t="s">
        <v>55</v>
      </c>
      <c r="D131" t="s">
        <v>28</v>
      </c>
      <c r="E131" t="s">
        <v>377</v>
      </c>
      <c r="F131" t="s">
        <v>378</v>
      </c>
      <c r="G131">
        <v>72833</v>
      </c>
      <c r="H131">
        <v>79622</v>
      </c>
      <c r="I131">
        <v>31748</v>
      </c>
      <c r="J131">
        <v>27013</v>
      </c>
    </row>
    <row r="132" spans="1:10" x14ac:dyDescent="0.35">
      <c r="A132">
        <v>231</v>
      </c>
      <c r="B132" t="s">
        <v>114</v>
      </c>
      <c r="C132" t="s">
        <v>39</v>
      </c>
      <c r="D132" t="s">
        <v>12</v>
      </c>
      <c r="E132" t="s">
        <v>379</v>
      </c>
      <c r="F132" t="s">
        <v>380</v>
      </c>
      <c r="G132">
        <v>26127</v>
      </c>
      <c r="H132">
        <v>46560</v>
      </c>
      <c r="I132">
        <v>44855</v>
      </c>
      <c r="J132">
        <v>44718</v>
      </c>
    </row>
    <row r="133" spans="1:10" x14ac:dyDescent="0.35">
      <c r="A133">
        <v>232</v>
      </c>
      <c r="B133" t="s">
        <v>168</v>
      </c>
      <c r="C133" t="s">
        <v>11</v>
      </c>
      <c r="D133" t="s">
        <v>28</v>
      </c>
      <c r="E133" t="s">
        <v>381</v>
      </c>
      <c r="F133" t="s">
        <v>382</v>
      </c>
      <c r="G133">
        <v>33855</v>
      </c>
      <c r="H133">
        <v>79065</v>
      </c>
      <c r="I133">
        <v>76892</v>
      </c>
      <c r="J133">
        <v>65369</v>
      </c>
    </row>
    <row r="134" spans="1:10" x14ac:dyDescent="0.35">
      <c r="A134">
        <v>233</v>
      </c>
      <c r="B134" t="s">
        <v>383</v>
      </c>
      <c r="C134" t="s">
        <v>55</v>
      </c>
      <c r="D134" t="s">
        <v>28</v>
      </c>
      <c r="E134" t="s">
        <v>384</v>
      </c>
      <c r="F134" t="s">
        <v>385</v>
      </c>
      <c r="G134">
        <v>25042</v>
      </c>
      <c r="H134">
        <v>39613</v>
      </c>
      <c r="I134">
        <v>30646</v>
      </c>
      <c r="J134">
        <v>56959</v>
      </c>
    </row>
    <row r="135" spans="1:10" x14ac:dyDescent="0.35">
      <c r="A135">
        <v>234</v>
      </c>
      <c r="B135" t="s">
        <v>386</v>
      </c>
      <c r="C135" t="s">
        <v>16</v>
      </c>
      <c r="D135" t="s">
        <v>43</v>
      </c>
      <c r="E135" t="s">
        <v>387</v>
      </c>
      <c r="F135" t="s">
        <v>388</v>
      </c>
      <c r="G135">
        <v>59660</v>
      </c>
      <c r="H135">
        <v>70397</v>
      </c>
      <c r="I135">
        <v>60230</v>
      </c>
      <c r="J135">
        <v>59033</v>
      </c>
    </row>
    <row r="136" spans="1:10" x14ac:dyDescent="0.35">
      <c r="A136">
        <v>235</v>
      </c>
      <c r="B136" t="s">
        <v>389</v>
      </c>
      <c r="C136" t="s">
        <v>11</v>
      </c>
      <c r="D136" t="s">
        <v>12</v>
      </c>
      <c r="E136" t="s">
        <v>390</v>
      </c>
      <c r="F136" t="s">
        <v>391</v>
      </c>
      <c r="G136">
        <v>66734</v>
      </c>
      <c r="H136">
        <v>24817</v>
      </c>
      <c r="I136">
        <v>25376</v>
      </c>
      <c r="J136">
        <v>37561</v>
      </c>
    </row>
    <row r="137" spans="1:10" x14ac:dyDescent="0.35">
      <c r="A137">
        <v>236</v>
      </c>
      <c r="B137" t="s">
        <v>248</v>
      </c>
      <c r="C137" t="s">
        <v>11</v>
      </c>
      <c r="D137" t="s">
        <v>20</v>
      </c>
      <c r="E137" t="s">
        <v>392</v>
      </c>
      <c r="F137" t="s">
        <v>393</v>
      </c>
      <c r="G137">
        <v>32280</v>
      </c>
      <c r="H137">
        <v>48244</v>
      </c>
      <c r="I137">
        <v>49415</v>
      </c>
      <c r="J137">
        <v>56502</v>
      </c>
    </row>
    <row r="138" spans="1:10" x14ac:dyDescent="0.35">
      <c r="A138">
        <v>237</v>
      </c>
      <c r="B138" t="s">
        <v>83</v>
      </c>
      <c r="C138" t="s">
        <v>55</v>
      </c>
      <c r="D138" t="s">
        <v>28</v>
      </c>
      <c r="E138" t="s">
        <v>84</v>
      </c>
      <c r="F138" t="s">
        <v>394</v>
      </c>
      <c r="G138">
        <v>67503</v>
      </c>
      <c r="H138">
        <v>79056</v>
      </c>
      <c r="I138">
        <v>56669</v>
      </c>
      <c r="J138">
        <v>79323</v>
      </c>
    </row>
    <row r="139" spans="1:10" x14ac:dyDescent="0.35">
      <c r="A139">
        <v>238</v>
      </c>
      <c r="B139" t="s">
        <v>339</v>
      </c>
      <c r="C139" t="s">
        <v>39</v>
      </c>
      <c r="D139" t="s">
        <v>43</v>
      </c>
      <c r="E139" t="s">
        <v>395</v>
      </c>
      <c r="F139" t="s">
        <v>396</v>
      </c>
      <c r="G139">
        <v>43666</v>
      </c>
      <c r="H139">
        <v>36495</v>
      </c>
      <c r="I139">
        <v>36160</v>
      </c>
      <c r="J139">
        <v>67244</v>
      </c>
    </row>
    <row r="140" spans="1:10" x14ac:dyDescent="0.35">
      <c r="A140">
        <v>239</v>
      </c>
      <c r="B140" t="s">
        <v>196</v>
      </c>
      <c r="C140" t="s">
        <v>55</v>
      </c>
      <c r="D140" t="s">
        <v>43</v>
      </c>
      <c r="E140" t="s">
        <v>197</v>
      </c>
      <c r="F140" t="s">
        <v>397</v>
      </c>
      <c r="G140">
        <v>41015</v>
      </c>
      <c r="H140">
        <v>59532</v>
      </c>
      <c r="I140">
        <v>65566</v>
      </c>
      <c r="J140">
        <v>33163</v>
      </c>
    </row>
    <row r="141" spans="1:10" x14ac:dyDescent="0.35">
      <c r="A141">
        <v>240</v>
      </c>
      <c r="B141" t="s">
        <v>398</v>
      </c>
      <c r="C141" t="s">
        <v>16</v>
      </c>
      <c r="D141" t="s">
        <v>12</v>
      </c>
      <c r="E141" t="s">
        <v>399</v>
      </c>
      <c r="F141" t="s">
        <v>400</v>
      </c>
      <c r="G141">
        <v>33094</v>
      </c>
      <c r="H141">
        <v>58812</v>
      </c>
      <c r="I141">
        <v>55758</v>
      </c>
      <c r="J141">
        <v>31791</v>
      </c>
    </row>
    <row r="142" spans="1:10" x14ac:dyDescent="0.35">
      <c r="A142">
        <v>241</v>
      </c>
      <c r="B142" t="s">
        <v>401</v>
      </c>
      <c r="C142" t="s">
        <v>11</v>
      </c>
      <c r="D142" t="s">
        <v>43</v>
      </c>
      <c r="E142" t="s">
        <v>402</v>
      </c>
      <c r="F142" t="s">
        <v>403</v>
      </c>
      <c r="G142">
        <v>63166</v>
      </c>
      <c r="H142">
        <v>30101</v>
      </c>
      <c r="I142">
        <v>66873</v>
      </c>
      <c r="J142">
        <v>47730</v>
      </c>
    </row>
    <row r="143" spans="1:10" x14ac:dyDescent="0.35">
      <c r="A143">
        <v>242</v>
      </c>
      <c r="B143" t="s">
        <v>404</v>
      </c>
      <c r="C143" t="s">
        <v>32</v>
      </c>
      <c r="D143" t="s">
        <v>20</v>
      </c>
      <c r="E143" t="s">
        <v>405</v>
      </c>
      <c r="F143" t="s">
        <v>406</v>
      </c>
      <c r="G143">
        <v>70394</v>
      </c>
      <c r="H143">
        <v>36268</v>
      </c>
      <c r="I143">
        <v>63096</v>
      </c>
      <c r="J143">
        <v>63561</v>
      </c>
    </row>
    <row r="144" spans="1:10" x14ac:dyDescent="0.35">
      <c r="A144">
        <v>243</v>
      </c>
      <c r="B144" t="s">
        <v>373</v>
      </c>
      <c r="C144" t="s">
        <v>32</v>
      </c>
      <c r="D144" t="s">
        <v>20</v>
      </c>
      <c r="E144" t="s">
        <v>407</v>
      </c>
      <c r="F144" t="s">
        <v>408</v>
      </c>
      <c r="G144">
        <v>45633</v>
      </c>
      <c r="H144">
        <v>50347</v>
      </c>
      <c r="I144">
        <v>70616</v>
      </c>
      <c r="J144">
        <v>64535</v>
      </c>
    </row>
    <row r="145" spans="1:10" x14ac:dyDescent="0.35">
      <c r="A145">
        <v>244</v>
      </c>
      <c r="B145" t="s">
        <v>409</v>
      </c>
      <c r="C145" t="s">
        <v>55</v>
      </c>
      <c r="D145" t="s">
        <v>20</v>
      </c>
      <c r="E145" t="s">
        <v>410</v>
      </c>
      <c r="F145" t="s">
        <v>411</v>
      </c>
      <c r="G145">
        <v>51649</v>
      </c>
      <c r="H145">
        <v>42826</v>
      </c>
      <c r="I145">
        <v>51205</v>
      </c>
      <c r="J145">
        <v>26397</v>
      </c>
    </row>
    <row r="146" spans="1:10" x14ac:dyDescent="0.35">
      <c r="A146">
        <v>245</v>
      </c>
      <c r="B146" t="s">
        <v>235</v>
      </c>
      <c r="C146" t="s">
        <v>55</v>
      </c>
      <c r="D146" t="s">
        <v>12</v>
      </c>
      <c r="E146" t="s">
        <v>412</v>
      </c>
      <c r="F146" t="s">
        <v>413</v>
      </c>
      <c r="G146">
        <v>31432</v>
      </c>
      <c r="H146">
        <v>56169</v>
      </c>
      <c r="I146">
        <v>30494</v>
      </c>
      <c r="J146">
        <v>41691</v>
      </c>
    </row>
    <row r="147" spans="1:10" x14ac:dyDescent="0.35">
      <c r="A147">
        <v>246</v>
      </c>
      <c r="B147" t="s">
        <v>98</v>
      </c>
      <c r="C147" t="s">
        <v>39</v>
      </c>
      <c r="D147" t="s">
        <v>20</v>
      </c>
      <c r="E147" t="s">
        <v>414</v>
      </c>
      <c r="F147" t="s">
        <v>415</v>
      </c>
      <c r="G147">
        <v>66185</v>
      </c>
      <c r="H147">
        <v>34076</v>
      </c>
      <c r="I147">
        <v>33486</v>
      </c>
      <c r="J147">
        <v>38241</v>
      </c>
    </row>
    <row r="148" spans="1:10" x14ac:dyDescent="0.35">
      <c r="A148">
        <v>247</v>
      </c>
      <c r="B148" t="s">
        <v>416</v>
      </c>
      <c r="C148" t="s">
        <v>111</v>
      </c>
      <c r="D148" t="s">
        <v>12</v>
      </c>
      <c r="E148" t="s">
        <v>417</v>
      </c>
      <c r="F148" t="s">
        <v>418</v>
      </c>
      <c r="G148">
        <v>27486</v>
      </c>
      <c r="H148">
        <v>42801</v>
      </c>
      <c r="I148">
        <v>43067</v>
      </c>
      <c r="J148">
        <v>75411</v>
      </c>
    </row>
    <row r="149" spans="1:10" x14ac:dyDescent="0.35">
      <c r="A149">
        <v>248</v>
      </c>
      <c r="B149" t="s">
        <v>419</v>
      </c>
      <c r="C149" t="s">
        <v>32</v>
      </c>
      <c r="D149" t="s">
        <v>28</v>
      </c>
      <c r="E149" t="s">
        <v>420</v>
      </c>
      <c r="F149" t="s">
        <v>421</v>
      </c>
      <c r="G149">
        <v>59087</v>
      </c>
      <c r="H149">
        <v>29035</v>
      </c>
      <c r="I149">
        <v>57670</v>
      </c>
      <c r="J149">
        <v>45146</v>
      </c>
    </row>
    <row r="150" spans="1:10" x14ac:dyDescent="0.35">
      <c r="A150">
        <v>249</v>
      </c>
      <c r="B150" t="s">
        <v>422</v>
      </c>
      <c r="C150" t="s">
        <v>11</v>
      </c>
      <c r="D150" t="s">
        <v>43</v>
      </c>
      <c r="E150" t="s">
        <v>423</v>
      </c>
      <c r="F150" t="s">
        <v>424</v>
      </c>
      <c r="G150">
        <v>51759</v>
      </c>
      <c r="H150">
        <v>28947</v>
      </c>
      <c r="I150">
        <v>32787</v>
      </c>
      <c r="J150">
        <v>73425</v>
      </c>
    </row>
    <row r="151" spans="1:10" x14ac:dyDescent="0.35">
      <c r="A151">
        <v>250</v>
      </c>
      <c r="B151" t="s">
        <v>425</v>
      </c>
      <c r="C151" t="s">
        <v>11</v>
      </c>
      <c r="D151" t="s">
        <v>20</v>
      </c>
      <c r="E151" t="s">
        <v>426</v>
      </c>
      <c r="F151" t="s">
        <v>427</v>
      </c>
      <c r="G151">
        <v>34735</v>
      </c>
      <c r="H151">
        <v>55232</v>
      </c>
      <c r="I151">
        <v>38918</v>
      </c>
      <c r="J151">
        <v>31023</v>
      </c>
    </row>
    <row r="152" spans="1:10" x14ac:dyDescent="0.35">
      <c r="A152">
        <v>251</v>
      </c>
      <c r="B152" t="s">
        <v>120</v>
      </c>
      <c r="C152" t="s">
        <v>32</v>
      </c>
      <c r="D152" t="s">
        <v>28</v>
      </c>
      <c r="E152" t="s">
        <v>428</v>
      </c>
      <c r="F152" t="s">
        <v>429</v>
      </c>
      <c r="G152">
        <v>26711</v>
      </c>
      <c r="H152">
        <v>68233</v>
      </c>
      <c r="I152">
        <v>74399</v>
      </c>
      <c r="J152">
        <v>62839</v>
      </c>
    </row>
    <row r="153" spans="1:10" x14ac:dyDescent="0.35">
      <c r="A153">
        <v>252</v>
      </c>
      <c r="B153" t="s">
        <v>143</v>
      </c>
      <c r="C153" t="s">
        <v>16</v>
      </c>
      <c r="D153" t="s">
        <v>12</v>
      </c>
      <c r="E153" t="s">
        <v>430</v>
      </c>
      <c r="F153" t="s">
        <v>431</v>
      </c>
      <c r="G153">
        <v>29124</v>
      </c>
      <c r="H153">
        <v>71435</v>
      </c>
      <c r="I153">
        <v>33541</v>
      </c>
      <c r="J153">
        <v>73315</v>
      </c>
    </row>
    <row r="154" spans="1:10" x14ac:dyDescent="0.35">
      <c r="A154">
        <v>253</v>
      </c>
      <c r="B154" t="s">
        <v>432</v>
      </c>
      <c r="C154" t="s">
        <v>32</v>
      </c>
      <c r="D154" t="s">
        <v>12</v>
      </c>
      <c r="E154" t="s">
        <v>433</v>
      </c>
      <c r="F154" t="s">
        <v>434</v>
      </c>
      <c r="G154">
        <v>23885</v>
      </c>
      <c r="H154">
        <v>38174</v>
      </c>
      <c r="I154">
        <v>76822</v>
      </c>
      <c r="J154">
        <v>62984</v>
      </c>
    </row>
    <row r="155" spans="1:10" x14ac:dyDescent="0.35">
      <c r="A155">
        <v>254</v>
      </c>
      <c r="B155" t="s">
        <v>114</v>
      </c>
      <c r="C155" t="s">
        <v>39</v>
      </c>
      <c r="D155" t="s">
        <v>12</v>
      </c>
      <c r="E155" t="s">
        <v>319</v>
      </c>
      <c r="F155" t="s">
        <v>435</v>
      </c>
      <c r="G155">
        <v>46401</v>
      </c>
      <c r="H155">
        <v>53791</v>
      </c>
      <c r="I155">
        <v>69139</v>
      </c>
      <c r="J155">
        <v>38233</v>
      </c>
    </row>
    <row r="156" spans="1:10" x14ac:dyDescent="0.35">
      <c r="A156">
        <v>255</v>
      </c>
      <c r="B156" t="s">
        <v>436</v>
      </c>
      <c r="C156" t="s">
        <v>111</v>
      </c>
      <c r="D156" t="s">
        <v>28</v>
      </c>
      <c r="E156" t="s">
        <v>437</v>
      </c>
      <c r="F156" t="s">
        <v>438</v>
      </c>
      <c r="G156">
        <v>74057</v>
      </c>
      <c r="H156">
        <v>33883</v>
      </c>
      <c r="I156">
        <v>52421</v>
      </c>
      <c r="J156">
        <v>37598</v>
      </c>
    </row>
    <row r="157" spans="1:10" x14ac:dyDescent="0.35">
      <c r="A157">
        <v>256</v>
      </c>
      <c r="B157" t="s">
        <v>277</v>
      </c>
      <c r="C157" t="s">
        <v>32</v>
      </c>
      <c r="D157" t="s">
        <v>43</v>
      </c>
      <c r="E157" t="s">
        <v>439</v>
      </c>
      <c r="F157" t="s">
        <v>440</v>
      </c>
      <c r="G157">
        <v>48920</v>
      </c>
      <c r="H157">
        <v>49918</v>
      </c>
      <c r="I157">
        <v>20044</v>
      </c>
      <c r="J157">
        <v>48036</v>
      </c>
    </row>
    <row r="158" spans="1:10" x14ac:dyDescent="0.35">
      <c r="A158">
        <v>257</v>
      </c>
      <c r="B158" t="s">
        <v>294</v>
      </c>
      <c r="C158" t="s">
        <v>39</v>
      </c>
      <c r="D158" t="s">
        <v>12</v>
      </c>
      <c r="E158" t="s">
        <v>441</v>
      </c>
      <c r="F158" t="s">
        <v>442</v>
      </c>
      <c r="G158">
        <v>48130</v>
      </c>
      <c r="H158">
        <v>62957</v>
      </c>
      <c r="I158">
        <v>25976</v>
      </c>
      <c r="J158">
        <v>66117</v>
      </c>
    </row>
    <row r="159" spans="1:10" x14ac:dyDescent="0.35">
      <c r="A159">
        <v>258</v>
      </c>
      <c r="B159" t="s">
        <v>443</v>
      </c>
      <c r="C159" t="s">
        <v>16</v>
      </c>
      <c r="D159" t="s">
        <v>28</v>
      </c>
      <c r="E159" t="s">
        <v>444</v>
      </c>
      <c r="F159" t="s">
        <v>445</v>
      </c>
      <c r="G159">
        <v>65484</v>
      </c>
      <c r="H159">
        <v>28662</v>
      </c>
      <c r="I159">
        <v>51306</v>
      </c>
      <c r="J159">
        <v>24641</v>
      </c>
    </row>
    <row r="160" spans="1:10" x14ac:dyDescent="0.35">
      <c r="A160">
        <v>259</v>
      </c>
      <c r="B160" t="s">
        <v>446</v>
      </c>
      <c r="C160" t="s">
        <v>11</v>
      </c>
      <c r="D160" t="s">
        <v>28</v>
      </c>
      <c r="E160" t="s">
        <v>447</v>
      </c>
      <c r="F160" t="s">
        <v>448</v>
      </c>
      <c r="G160">
        <v>20555</v>
      </c>
      <c r="H160">
        <v>59997</v>
      </c>
      <c r="I160">
        <v>62599</v>
      </c>
      <c r="J160">
        <v>30755</v>
      </c>
    </row>
    <row r="161" spans="1:10" x14ac:dyDescent="0.35">
      <c r="A161">
        <v>260</v>
      </c>
      <c r="B161" t="s">
        <v>449</v>
      </c>
      <c r="C161" t="s">
        <v>11</v>
      </c>
      <c r="D161" t="s">
        <v>43</v>
      </c>
      <c r="E161" t="s">
        <v>450</v>
      </c>
      <c r="F161" t="s">
        <v>451</v>
      </c>
      <c r="G161">
        <v>40611</v>
      </c>
      <c r="H161">
        <v>71844</v>
      </c>
      <c r="I161">
        <v>29163</v>
      </c>
      <c r="J161">
        <v>36238</v>
      </c>
    </row>
    <row r="162" spans="1:10" x14ac:dyDescent="0.35">
      <c r="A162">
        <v>261</v>
      </c>
      <c r="B162" t="s">
        <v>452</v>
      </c>
      <c r="C162" t="s">
        <v>32</v>
      </c>
      <c r="D162" t="s">
        <v>12</v>
      </c>
      <c r="E162" t="s">
        <v>453</v>
      </c>
      <c r="F162" t="s">
        <v>454</v>
      </c>
      <c r="G162">
        <v>27388</v>
      </c>
      <c r="H162">
        <v>35799</v>
      </c>
      <c r="I162">
        <v>52740</v>
      </c>
      <c r="J162">
        <v>61817</v>
      </c>
    </row>
    <row r="163" spans="1:10" x14ac:dyDescent="0.35">
      <c r="A163">
        <v>262</v>
      </c>
      <c r="B163" t="s">
        <v>455</v>
      </c>
      <c r="C163" t="s">
        <v>111</v>
      </c>
      <c r="D163" t="s">
        <v>12</v>
      </c>
      <c r="E163" t="s">
        <v>456</v>
      </c>
      <c r="F163" t="s">
        <v>457</v>
      </c>
      <c r="G163">
        <v>20903</v>
      </c>
      <c r="H163">
        <v>37182</v>
      </c>
      <c r="I163">
        <v>34138</v>
      </c>
      <c r="J163">
        <v>22610</v>
      </c>
    </row>
    <row r="164" spans="1:10" x14ac:dyDescent="0.35">
      <c r="A164">
        <v>263</v>
      </c>
      <c r="B164" t="s">
        <v>86</v>
      </c>
      <c r="C164" t="s">
        <v>11</v>
      </c>
      <c r="D164" t="s">
        <v>20</v>
      </c>
      <c r="E164" t="s">
        <v>458</v>
      </c>
      <c r="F164" t="s">
        <v>459</v>
      </c>
      <c r="G164">
        <v>33316</v>
      </c>
      <c r="H164">
        <v>72957</v>
      </c>
      <c r="I164">
        <v>30182</v>
      </c>
      <c r="J164">
        <v>55152</v>
      </c>
    </row>
    <row r="165" spans="1:10" x14ac:dyDescent="0.35">
      <c r="A165">
        <v>264</v>
      </c>
      <c r="B165" t="s">
        <v>446</v>
      </c>
      <c r="C165" t="s">
        <v>111</v>
      </c>
      <c r="D165" t="s">
        <v>20</v>
      </c>
      <c r="E165" t="s">
        <v>460</v>
      </c>
      <c r="F165" t="s">
        <v>461</v>
      </c>
      <c r="G165">
        <v>20830</v>
      </c>
      <c r="H165">
        <v>66392</v>
      </c>
      <c r="I165">
        <v>28992</v>
      </c>
      <c r="J165">
        <v>65973</v>
      </c>
    </row>
    <row r="166" spans="1:10" x14ac:dyDescent="0.35">
      <c r="A166">
        <v>265</v>
      </c>
      <c r="B166" t="s">
        <v>422</v>
      </c>
      <c r="C166" t="s">
        <v>111</v>
      </c>
      <c r="D166" t="s">
        <v>12</v>
      </c>
      <c r="E166" t="s">
        <v>462</v>
      </c>
      <c r="F166" t="s">
        <v>463</v>
      </c>
      <c r="G166">
        <v>24185</v>
      </c>
      <c r="H166">
        <v>37232</v>
      </c>
      <c r="I166">
        <v>66682</v>
      </c>
      <c r="J166">
        <v>57791</v>
      </c>
    </row>
    <row r="167" spans="1:10" x14ac:dyDescent="0.35">
      <c r="A167">
        <v>266</v>
      </c>
      <c r="B167" t="s">
        <v>464</v>
      </c>
      <c r="C167" t="s">
        <v>32</v>
      </c>
      <c r="D167" t="s">
        <v>12</v>
      </c>
      <c r="E167" t="s">
        <v>465</v>
      </c>
      <c r="F167" t="s">
        <v>466</v>
      </c>
      <c r="G167">
        <v>76275</v>
      </c>
      <c r="H167">
        <v>76552</v>
      </c>
      <c r="I167">
        <v>20805</v>
      </c>
      <c r="J167">
        <v>36026</v>
      </c>
    </row>
    <row r="168" spans="1:10" x14ac:dyDescent="0.35">
      <c r="A168">
        <v>267</v>
      </c>
      <c r="B168" t="s">
        <v>467</v>
      </c>
      <c r="C168" t="s">
        <v>16</v>
      </c>
      <c r="D168" t="s">
        <v>43</v>
      </c>
      <c r="E168" t="s">
        <v>468</v>
      </c>
      <c r="F168" t="s">
        <v>469</v>
      </c>
      <c r="G168">
        <v>57456</v>
      </c>
      <c r="H168">
        <v>44432</v>
      </c>
      <c r="I168">
        <v>27825</v>
      </c>
      <c r="J168">
        <v>52901</v>
      </c>
    </row>
    <row r="169" spans="1:10" x14ac:dyDescent="0.35">
      <c r="A169">
        <v>268</v>
      </c>
      <c r="B169" t="s">
        <v>470</v>
      </c>
      <c r="C169" t="s">
        <v>27</v>
      </c>
      <c r="D169" t="s">
        <v>28</v>
      </c>
      <c r="E169" t="s">
        <v>471</v>
      </c>
      <c r="F169" t="s">
        <v>472</v>
      </c>
      <c r="G169">
        <v>39109</v>
      </c>
      <c r="H169">
        <v>56949</v>
      </c>
      <c r="I169">
        <v>71413</v>
      </c>
      <c r="J169">
        <v>39917</v>
      </c>
    </row>
    <row r="170" spans="1:10" x14ac:dyDescent="0.35">
      <c r="A170">
        <v>269</v>
      </c>
      <c r="B170" t="s">
        <v>473</v>
      </c>
      <c r="C170" t="s">
        <v>111</v>
      </c>
      <c r="D170" t="s">
        <v>20</v>
      </c>
      <c r="E170" t="s">
        <v>474</v>
      </c>
      <c r="F170" t="s">
        <v>475</v>
      </c>
      <c r="G170">
        <v>20095</v>
      </c>
      <c r="H170">
        <v>69737</v>
      </c>
      <c r="I170">
        <v>63077</v>
      </c>
      <c r="J170">
        <v>44659</v>
      </c>
    </row>
    <row r="171" spans="1:10" x14ac:dyDescent="0.35">
      <c r="A171">
        <v>270</v>
      </c>
      <c r="B171" t="s">
        <v>232</v>
      </c>
      <c r="C171" t="s">
        <v>32</v>
      </c>
      <c r="D171" t="s">
        <v>43</v>
      </c>
      <c r="E171" t="s">
        <v>476</v>
      </c>
      <c r="F171" t="s">
        <v>477</v>
      </c>
      <c r="G171">
        <v>69014</v>
      </c>
      <c r="H171">
        <v>25564</v>
      </c>
      <c r="I171">
        <v>58061</v>
      </c>
      <c r="J171">
        <v>26263</v>
      </c>
    </row>
    <row r="172" spans="1:10" x14ac:dyDescent="0.35">
      <c r="A172">
        <v>271</v>
      </c>
      <c r="B172" t="s">
        <v>478</v>
      </c>
      <c r="C172" t="s">
        <v>55</v>
      </c>
      <c r="D172" t="s">
        <v>28</v>
      </c>
      <c r="E172" t="s">
        <v>479</v>
      </c>
      <c r="F172" t="s">
        <v>480</v>
      </c>
      <c r="G172">
        <v>49671</v>
      </c>
      <c r="H172">
        <v>37822</v>
      </c>
      <c r="I172">
        <v>35309</v>
      </c>
      <c r="J172">
        <v>24894</v>
      </c>
    </row>
    <row r="173" spans="1:10" x14ac:dyDescent="0.35">
      <c r="A173">
        <v>272</v>
      </c>
      <c r="B173" t="s">
        <v>481</v>
      </c>
      <c r="C173" t="s">
        <v>39</v>
      </c>
      <c r="D173" t="s">
        <v>28</v>
      </c>
      <c r="E173" t="s">
        <v>482</v>
      </c>
      <c r="F173" t="s">
        <v>483</v>
      </c>
      <c r="G173">
        <v>37367</v>
      </c>
      <c r="H173">
        <v>75868</v>
      </c>
      <c r="I173">
        <v>27858</v>
      </c>
      <c r="J173">
        <v>25925</v>
      </c>
    </row>
    <row r="174" spans="1:10" x14ac:dyDescent="0.35">
      <c r="A174">
        <v>273</v>
      </c>
      <c r="B174" t="s">
        <v>143</v>
      </c>
      <c r="C174" t="s">
        <v>39</v>
      </c>
      <c r="D174" t="s">
        <v>12</v>
      </c>
      <c r="E174" t="s">
        <v>484</v>
      </c>
      <c r="F174" t="s">
        <v>485</v>
      </c>
      <c r="G174">
        <v>26678</v>
      </c>
      <c r="H174">
        <v>72684</v>
      </c>
      <c r="I174">
        <v>72023</v>
      </c>
      <c r="J174">
        <v>29161</v>
      </c>
    </row>
    <row r="175" spans="1:10" x14ac:dyDescent="0.35">
      <c r="A175">
        <v>274</v>
      </c>
      <c r="B175" t="s">
        <v>199</v>
      </c>
      <c r="C175" t="s">
        <v>27</v>
      </c>
      <c r="D175" t="s">
        <v>43</v>
      </c>
      <c r="E175" t="s">
        <v>200</v>
      </c>
      <c r="F175" t="s">
        <v>486</v>
      </c>
      <c r="G175">
        <v>73038</v>
      </c>
      <c r="H175">
        <v>28440</v>
      </c>
      <c r="I175">
        <v>26027</v>
      </c>
      <c r="J175">
        <v>79315</v>
      </c>
    </row>
    <row r="176" spans="1:10" x14ac:dyDescent="0.35">
      <c r="A176">
        <v>275</v>
      </c>
      <c r="B176" t="s">
        <v>487</v>
      </c>
      <c r="C176" t="s">
        <v>16</v>
      </c>
      <c r="D176" t="s">
        <v>28</v>
      </c>
      <c r="E176" t="s">
        <v>488</v>
      </c>
      <c r="F176" t="s">
        <v>489</v>
      </c>
      <c r="G176">
        <v>79526</v>
      </c>
      <c r="H176">
        <v>32265</v>
      </c>
      <c r="I176">
        <v>38021</v>
      </c>
      <c r="J176">
        <v>38340</v>
      </c>
    </row>
    <row r="177" spans="1:10" x14ac:dyDescent="0.35">
      <c r="A177">
        <v>276</v>
      </c>
      <c r="B177" t="s">
        <v>490</v>
      </c>
      <c r="C177" t="s">
        <v>32</v>
      </c>
      <c r="D177" t="s">
        <v>43</v>
      </c>
      <c r="E177" t="s">
        <v>491</v>
      </c>
      <c r="F177" t="s">
        <v>492</v>
      </c>
      <c r="G177">
        <v>62116</v>
      </c>
      <c r="H177">
        <v>77976</v>
      </c>
      <c r="I177">
        <v>72245</v>
      </c>
      <c r="J177">
        <v>54459</v>
      </c>
    </row>
    <row r="178" spans="1:10" x14ac:dyDescent="0.35">
      <c r="A178">
        <v>277</v>
      </c>
      <c r="B178" t="s">
        <v>104</v>
      </c>
      <c r="C178" t="s">
        <v>27</v>
      </c>
      <c r="D178" t="s">
        <v>12</v>
      </c>
      <c r="E178" t="s">
        <v>493</v>
      </c>
      <c r="F178" t="s">
        <v>494</v>
      </c>
      <c r="G178">
        <v>34353</v>
      </c>
      <c r="H178">
        <v>21920</v>
      </c>
      <c r="I178">
        <v>78704</v>
      </c>
      <c r="J178">
        <v>73129</v>
      </c>
    </row>
    <row r="179" spans="1:10" x14ac:dyDescent="0.35">
      <c r="A179">
        <v>278</v>
      </c>
      <c r="B179" t="s">
        <v>495</v>
      </c>
      <c r="C179" t="s">
        <v>32</v>
      </c>
      <c r="D179" t="s">
        <v>12</v>
      </c>
      <c r="E179" t="s">
        <v>496</v>
      </c>
      <c r="F179" t="s">
        <v>497</v>
      </c>
      <c r="G179">
        <v>75476</v>
      </c>
      <c r="H179">
        <v>72257</v>
      </c>
      <c r="I179">
        <v>45455</v>
      </c>
      <c r="J179">
        <v>43252</v>
      </c>
    </row>
    <row r="180" spans="1:10" x14ac:dyDescent="0.35">
      <c r="A180">
        <v>279</v>
      </c>
      <c r="B180" t="s">
        <v>470</v>
      </c>
      <c r="C180" t="s">
        <v>32</v>
      </c>
      <c r="D180" t="s">
        <v>12</v>
      </c>
      <c r="E180" t="s">
        <v>498</v>
      </c>
      <c r="F180" t="s">
        <v>499</v>
      </c>
      <c r="G180">
        <v>40254</v>
      </c>
      <c r="H180">
        <v>31505</v>
      </c>
      <c r="I180">
        <v>52141</v>
      </c>
      <c r="J180">
        <v>22487</v>
      </c>
    </row>
    <row r="181" spans="1:10" x14ac:dyDescent="0.35">
      <c r="A181">
        <v>280</v>
      </c>
      <c r="B181" t="s">
        <v>358</v>
      </c>
      <c r="C181" t="s">
        <v>32</v>
      </c>
      <c r="D181" t="s">
        <v>43</v>
      </c>
      <c r="E181" t="s">
        <v>500</v>
      </c>
      <c r="F181" t="s">
        <v>501</v>
      </c>
      <c r="G181">
        <v>29680</v>
      </c>
      <c r="H181">
        <v>58444</v>
      </c>
      <c r="I181">
        <v>66182</v>
      </c>
      <c r="J181">
        <v>29283</v>
      </c>
    </row>
    <row r="182" spans="1:10" x14ac:dyDescent="0.35">
      <c r="A182">
        <v>281</v>
      </c>
      <c r="B182" t="s">
        <v>265</v>
      </c>
      <c r="C182" t="s">
        <v>111</v>
      </c>
      <c r="D182" t="s">
        <v>20</v>
      </c>
      <c r="E182" t="s">
        <v>502</v>
      </c>
      <c r="F182" t="s">
        <v>503</v>
      </c>
      <c r="G182">
        <v>66345</v>
      </c>
      <c r="H182">
        <v>56829</v>
      </c>
      <c r="I182">
        <v>65453</v>
      </c>
      <c r="J182">
        <v>78300</v>
      </c>
    </row>
    <row r="183" spans="1:10" x14ac:dyDescent="0.35">
      <c r="A183">
        <v>282</v>
      </c>
      <c r="B183" t="s">
        <v>504</v>
      </c>
      <c r="C183" t="s">
        <v>11</v>
      </c>
      <c r="D183" t="s">
        <v>43</v>
      </c>
      <c r="E183" t="s">
        <v>505</v>
      </c>
      <c r="F183" t="s">
        <v>506</v>
      </c>
      <c r="G183">
        <v>26822</v>
      </c>
      <c r="H183">
        <v>52517</v>
      </c>
      <c r="I183">
        <v>29217</v>
      </c>
      <c r="J183">
        <v>41703</v>
      </c>
    </row>
    <row r="184" spans="1:10" x14ac:dyDescent="0.35">
      <c r="A184">
        <v>283</v>
      </c>
      <c r="B184" t="s">
        <v>507</v>
      </c>
      <c r="C184" t="s">
        <v>111</v>
      </c>
      <c r="D184" t="s">
        <v>43</v>
      </c>
      <c r="E184" t="s">
        <v>508</v>
      </c>
      <c r="F184" t="s">
        <v>509</v>
      </c>
      <c r="G184">
        <v>67213</v>
      </c>
      <c r="H184">
        <v>20083</v>
      </c>
      <c r="I184">
        <v>23155</v>
      </c>
      <c r="J184">
        <v>45292</v>
      </c>
    </row>
    <row r="185" spans="1:10" x14ac:dyDescent="0.35">
      <c r="A185">
        <v>284</v>
      </c>
      <c r="B185" t="s">
        <v>510</v>
      </c>
      <c r="C185" t="s">
        <v>16</v>
      </c>
      <c r="D185" t="s">
        <v>20</v>
      </c>
      <c r="E185" t="s">
        <v>511</v>
      </c>
      <c r="F185" t="s">
        <v>512</v>
      </c>
      <c r="G185">
        <v>21315</v>
      </c>
      <c r="H185">
        <v>40887</v>
      </c>
      <c r="I185">
        <v>37113</v>
      </c>
      <c r="J185">
        <v>26863</v>
      </c>
    </row>
    <row r="186" spans="1:10" x14ac:dyDescent="0.35">
      <c r="A186">
        <v>285</v>
      </c>
      <c r="B186" t="s">
        <v>398</v>
      </c>
      <c r="C186" t="s">
        <v>16</v>
      </c>
      <c r="D186" t="s">
        <v>43</v>
      </c>
      <c r="E186" t="s">
        <v>513</v>
      </c>
      <c r="F186" t="s">
        <v>514</v>
      </c>
      <c r="G186">
        <v>26636</v>
      </c>
      <c r="H186">
        <v>41698</v>
      </c>
      <c r="I186">
        <v>33470</v>
      </c>
      <c r="J186">
        <v>32450</v>
      </c>
    </row>
    <row r="187" spans="1:10" x14ac:dyDescent="0.35">
      <c r="A187">
        <v>286</v>
      </c>
      <c r="B187" t="s">
        <v>515</v>
      </c>
      <c r="C187" t="s">
        <v>111</v>
      </c>
      <c r="D187" t="s">
        <v>43</v>
      </c>
      <c r="E187" t="s">
        <v>516</v>
      </c>
      <c r="F187" t="s">
        <v>517</v>
      </c>
      <c r="G187">
        <v>73994</v>
      </c>
      <c r="H187">
        <v>63386</v>
      </c>
      <c r="I187">
        <v>60965</v>
      </c>
      <c r="J187">
        <v>59335</v>
      </c>
    </row>
    <row r="188" spans="1:10" x14ac:dyDescent="0.35">
      <c r="A188">
        <v>287</v>
      </c>
      <c r="B188" t="s">
        <v>518</v>
      </c>
      <c r="C188" t="s">
        <v>55</v>
      </c>
      <c r="D188" t="s">
        <v>43</v>
      </c>
      <c r="E188" t="s">
        <v>519</v>
      </c>
      <c r="F188" t="s">
        <v>520</v>
      </c>
      <c r="G188">
        <v>45396</v>
      </c>
      <c r="H188">
        <v>32116</v>
      </c>
      <c r="I188">
        <v>44315</v>
      </c>
      <c r="J188">
        <v>78031</v>
      </c>
    </row>
    <row r="189" spans="1:10" x14ac:dyDescent="0.35">
      <c r="A189">
        <v>288</v>
      </c>
      <c r="B189" t="s">
        <v>521</v>
      </c>
      <c r="C189" t="s">
        <v>16</v>
      </c>
      <c r="D189" t="s">
        <v>28</v>
      </c>
      <c r="E189" t="s">
        <v>522</v>
      </c>
      <c r="F189" t="s">
        <v>523</v>
      </c>
      <c r="G189">
        <v>72964</v>
      </c>
      <c r="H189">
        <v>55484</v>
      </c>
      <c r="I189">
        <v>47131</v>
      </c>
      <c r="J189">
        <v>69575</v>
      </c>
    </row>
    <row r="190" spans="1:10" x14ac:dyDescent="0.35">
      <c r="A190">
        <v>289</v>
      </c>
      <c r="B190" t="s">
        <v>333</v>
      </c>
      <c r="C190" t="s">
        <v>27</v>
      </c>
      <c r="D190" t="s">
        <v>20</v>
      </c>
      <c r="E190" t="s">
        <v>524</v>
      </c>
      <c r="F190" t="s">
        <v>525</v>
      </c>
      <c r="G190">
        <v>52905</v>
      </c>
      <c r="H190">
        <v>57435</v>
      </c>
      <c r="I190">
        <v>79012</v>
      </c>
      <c r="J190">
        <v>53870</v>
      </c>
    </row>
    <row r="191" spans="1:10" x14ac:dyDescent="0.35">
      <c r="A191">
        <v>290</v>
      </c>
      <c r="B191" t="s">
        <v>481</v>
      </c>
      <c r="C191" t="s">
        <v>27</v>
      </c>
      <c r="D191" t="s">
        <v>20</v>
      </c>
      <c r="E191" t="s">
        <v>482</v>
      </c>
      <c r="F191" t="s">
        <v>526</v>
      </c>
      <c r="G191">
        <v>79690</v>
      </c>
      <c r="H191">
        <v>67651</v>
      </c>
      <c r="I191">
        <v>79911</v>
      </c>
      <c r="J191">
        <v>72910</v>
      </c>
    </row>
    <row r="192" spans="1:10" x14ac:dyDescent="0.35">
      <c r="A192">
        <v>291</v>
      </c>
      <c r="B192" t="s">
        <v>137</v>
      </c>
      <c r="C192" t="s">
        <v>32</v>
      </c>
      <c r="D192" t="s">
        <v>20</v>
      </c>
      <c r="E192" t="s">
        <v>138</v>
      </c>
      <c r="F192" t="s">
        <v>527</v>
      </c>
      <c r="G192">
        <v>29712</v>
      </c>
      <c r="H192">
        <v>57132</v>
      </c>
      <c r="I192">
        <v>58530</v>
      </c>
      <c r="J192">
        <v>58186</v>
      </c>
    </row>
    <row r="193" spans="1:10" x14ac:dyDescent="0.35">
      <c r="A193">
        <v>292</v>
      </c>
      <c r="B193" t="s">
        <v>193</v>
      </c>
      <c r="C193" t="s">
        <v>27</v>
      </c>
      <c r="D193" t="s">
        <v>12</v>
      </c>
      <c r="E193" t="s">
        <v>528</v>
      </c>
      <c r="F193" t="s">
        <v>529</v>
      </c>
      <c r="G193">
        <v>60517</v>
      </c>
      <c r="H193">
        <v>59888</v>
      </c>
      <c r="I193">
        <v>64617</v>
      </c>
      <c r="J193">
        <v>65459</v>
      </c>
    </row>
    <row r="194" spans="1:10" x14ac:dyDescent="0.35">
      <c r="A194">
        <v>293</v>
      </c>
      <c r="B194" t="s">
        <v>530</v>
      </c>
      <c r="C194" t="s">
        <v>111</v>
      </c>
      <c r="D194" t="s">
        <v>43</v>
      </c>
      <c r="E194" t="s">
        <v>531</v>
      </c>
      <c r="F194" t="s">
        <v>532</v>
      </c>
      <c r="G194">
        <v>76944</v>
      </c>
      <c r="H194">
        <v>34939</v>
      </c>
      <c r="I194">
        <v>28807</v>
      </c>
      <c r="J194">
        <v>39692</v>
      </c>
    </row>
    <row r="195" spans="1:10" x14ac:dyDescent="0.35">
      <c r="A195">
        <v>294</v>
      </c>
      <c r="B195" t="s">
        <v>533</v>
      </c>
      <c r="C195" t="s">
        <v>11</v>
      </c>
      <c r="D195" t="s">
        <v>20</v>
      </c>
      <c r="E195" t="s">
        <v>534</v>
      </c>
      <c r="F195" t="s">
        <v>535</v>
      </c>
      <c r="G195">
        <v>53768</v>
      </c>
      <c r="H195">
        <v>71871</v>
      </c>
      <c r="I195">
        <v>30418</v>
      </c>
      <c r="J195">
        <v>24300</v>
      </c>
    </row>
    <row r="196" spans="1:10" x14ac:dyDescent="0.35">
      <c r="A196">
        <v>295</v>
      </c>
      <c r="B196" t="s">
        <v>248</v>
      </c>
      <c r="C196" t="s">
        <v>27</v>
      </c>
      <c r="D196" t="s">
        <v>28</v>
      </c>
      <c r="E196" t="s">
        <v>536</v>
      </c>
      <c r="F196" t="s">
        <v>537</v>
      </c>
      <c r="G196">
        <v>44140</v>
      </c>
      <c r="H196">
        <v>73969</v>
      </c>
      <c r="I196">
        <v>50423</v>
      </c>
      <c r="J196">
        <v>53103</v>
      </c>
    </row>
    <row r="197" spans="1:10" x14ac:dyDescent="0.35">
      <c r="A197">
        <v>296</v>
      </c>
      <c r="B197" t="s">
        <v>10</v>
      </c>
      <c r="C197" t="s">
        <v>39</v>
      </c>
      <c r="D197" t="s">
        <v>12</v>
      </c>
      <c r="E197" t="s">
        <v>538</v>
      </c>
      <c r="F197" t="s">
        <v>539</v>
      </c>
      <c r="G197">
        <v>45333</v>
      </c>
      <c r="H197">
        <v>23253</v>
      </c>
      <c r="I197">
        <v>30676</v>
      </c>
      <c r="J197">
        <v>75956</v>
      </c>
    </row>
    <row r="198" spans="1:10" x14ac:dyDescent="0.35">
      <c r="A198">
        <v>297</v>
      </c>
      <c r="B198" t="s">
        <v>75</v>
      </c>
      <c r="C198" t="s">
        <v>11</v>
      </c>
      <c r="D198" t="s">
        <v>43</v>
      </c>
      <c r="E198" t="s">
        <v>540</v>
      </c>
      <c r="F198" t="s">
        <v>541</v>
      </c>
      <c r="G198">
        <v>72485</v>
      </c>
      <c r="H198">
        <v>20554</v>
      </c>
      <c r="I198">
        <v>34664</v>
      </c>
      <c r="J198">
        <v>36540</v>
      </c>
    </row>
    <row r="199" spans="1:10" x14ac:dyDescent="0.35">
      <c r="A199">
        <v>298</v>
      </c>
      <c r="B199" t="s">
        <v>242</v>
      </c>
      <c r="C199" t="s">
        <v>16</v>
      </c>
      <c r="D199" t="s">
        <v>20</v>
      </c>
      <c r="E199" t="s">
        <v>243</v>
      </c>
      <c r="F199" t="s">
        <v>542</v>
      </c>
      <c r="G199">
        <v>53522</v>
      </c>
      <c r="H199">
        <v>63408</v>
      </c>
      <c r="I199">
        <v>75265</v>
      </c>
      <c r="J199">
        <v>75009</v>
      </c>
    </row>
    <row r="200" spans="1:10" x14ac:dyDescent="0.35">
      <c r="A200">
        <v>299</v>
      </c>
      <c r="B200" t="s">
        <v>543</v>
      </c>
      <c r="C200" t="s">
        <v>11</v>
      </c>
      <c r="D200" t="s">
        <v>28</v>
      </c>
      <c r="E200" t="s">
        <v>544</v>
      </c>
      <c r="F200" t="s">
        <v>545</v>
      </c>
      <c r="G200">
        <v>70166</v>
      </c>
      <c r="H200">
        <v>35748</v>
      </c>
      <c r="I200">
        <v>78961</v>
      </c>
      <c r="J200">
        <v>23720</v>
      </c>
    </row>
    <row r="201" spans="1:10" x14ac:dyDescent="0.35">
      <c r="A201">
        <v>300</v>
      </c>
      <c r="B201" t="s">
        <v>386</v>
      </c>
      <c r="C201" t="s">
        <v>11</v>
      </c>
      <c r="D201" t="s">
        <v>43</v>
      </c>
      <c r="E201" t="s">
        <v>387</v>
      </c>
      <c r="F201" t="s">
        <v>546</v>
      </c>
      <c r="G201">
        <v>67615</v>
      </c>
      <c r="H201">
        <v>66751</v>
      </c>
      <c r="I201">
        <v>34572</v>
      </c>
      <c r="J201">
        <v>64978</v>
      </c>
    </row>
    <row r="202" spans="1:10" x14ac:dyDescent="0.35">
      <c r="A202">
        <v>301</v>
      </c>
      <c r="B202" t="s">
        <v>467</v>
      </c>
      <c r="C202" t="s">
        <v>32</v>
      </c>
      <c r="D202" t="s">
        <v>12</v>
      </c>
      <c r="E202" t="s">
        <v>468</v>
      </c>
      <c r="F202" t="s">
        <v>547</v>
      </c>
      <c r="G202">
        <v>34565</v>
      </c>
      <c r="H202">
        <v>43283</v>
      </c>
      <c r="I202">
        <v>34636</v>
      </c>
      <c r="J202">
        <v>68772</v>
      </c>
    </row>
    <row r="203" spans="1:10" x14ac:dyDescent="0.35">
      <c r="A203">
        <v>302</v>
      </c>
      <c r="B203" t="s">
        <v>330</v>
      </c>
      <c r="C203" t="s">
        <v>111</v>
      </c>
      <c r="D203" t="s">
        <v>12</v>
      </c>
      <c r="E203" t="s">
        <v>548</v>
      </c>
      <c r="F203" t="s">
        <v>549</v>
      </c>
      <c r="G203">
        <v>54723</v>
      </c>
      <c r="H203">
        <v>39553</v>
      </c>
      <c r="I203">
        <v>47073</v>
      </c>
      <c r="J203">
        <v>23543</v>
      </c>
    </row>
    <row r="204" spans="1:10" x14ac:dyDescent="0.35">
      <c r="A204">
        <v>303</v>
      </c>
      <c r="B204" t="s">
        <v>550</v>
      </c>
      <c r="C204" t="s">
        <v>111</v>
      </c>
      <c r="D204" t="s">
        <v>20</v>
      </c>
      <c r="E204" t="s">
        <v>551</v>
      </c>
      <c r="F204" t="s">
        <v>552</v>
      </c>
      <c r="G204">
        <v>20308</v>
      </c>
      <c r="H204">
        <v>49625</v>
      </c>
      <c r="I204">
        <v>37925</v>
      </c>
      <c r="J204">
        <v>33722</v>
      </c>
    </row>
    <row r="205" spans="1:10" x14ac:dyDescent="0.35">
      <c r="A205">
        <v>304</v>
      </c>
      <c r="B205" t="s">
        <v>422</v>
      </c>
      <c r="C205" t="s">
        <v>27</v>
      </c>
      <c r="D205" t="s">
        <v>28</v>
      </c>
      <c r="E205" t="s">
        <v>462</v>
      </c>
      <c r="F205" t="s">
        <v>553</v>
      </c>
      <c r="G205">
        <v>67884</v>
      </c>
      <c r="H205">
        <v>44451</v>
      </c>
      <c r="I205">
        <v>20922</v>
      </c>
      <c r="J205">
        <v>78458</v>
      </c>
    </row>
    <row r="206" spans="1:10" x14ac:dyDescent="0.35">
      <c r="A206">
        <v>305</v>
      </c>
      <c r="B206" t="s">
        <v>554</v>
      </c>
      <c r="C206" t="s">
        <v>11</v>
      </c>
      <c r="D206" t="s">
        <v>28</v>
      </c>
      <c r="E206" t="s">
        <v>555</v>
      </c>
      <c r="F206" t="s">
        <v>556</v>
      </c>
      <c r="G206">
        <v>73991</v>
      </c>
      <c r="H206">
        <v>22996</v>
      </c>
      <c r="I206">
        <v>39542</v>
      </c>
      <c r="J206">
        <v>39059</v>
      </c>
    </row>
    <row r="207" spans="1:10" x14ac:dyDescent="0.35">
      <c r="A207">
        <v>306</v>
      </c>
      <c r="B207" t="s">
        <v>557</v>
      </c>
      <c r="C207" t="s">
        <v>11</v>
      </c>
      <c r="D207" t="s">
        <v>43</v>
      </c>
      <c r="E207" t="s">
        <v>558</v>
      </c>
      <c r="F207" t="s">
        <v>559</v>
      </c>
      <c r="G207">
        <v>68108</v>
      </c>
      <c r="H207">
        <v>21436</v>
      </c>
      <c r="I207">
        <v>58646</v>
      </c>
      <c r="J207">
        <v>53071</v>
      </c>
    </row>
    <row r="208" spans="1:10" x14ac:dyDescent="0.35">
      <c r="A208">
        <v>307</v>
      </c>
      <c r="B208" t="s">
        <v>212</v>
      </c>
      <c r="C208" t="s">
        <v>11</v>
      </c>
      <c r="D208" t="s">
        <v>28</v>
      </c>
      <c r="E208" t="s">
        <v>560</v>
      </c>
      <c r="F208" t="s">
        <v>561</v>
      </c>
      <c r="G208">
        <v>47313</v>
      </c>
      <c r="H208">
        <v>49118</v>
      </c>
      <c r="I208">
        <v>44920</v>
      </c>
      <c r="J208">
        <v>28099</v>
      </c>
    </row>
    <row r="209" spans="1:10" x14ac:dyDescent="0.35">
      <c r="A209">
        <v>308</v>
      </c>
      <c r="B209" t="s">
        <v>562</v>
      </c>
      <c r="C209" t="s">
        <v>11</v>
      </c>
      <c r="D209" t="s">
        <v>43</v>
      </c>
      <c r="E209" t="s">
        <v>563</v>
      </c>
      <c r="F209" t="s">
        <v>564</v>
      </c>
      <c r="G209">
        <v>67105</v>
      </c>
      <c r="H209">
        <v>60481</v>
      </c>
      <c r="I209">
        <v>27715</v>
      </c>
      <c r="J209">
        <v>38527</v>
      </c>
    </row>
    <row r="210" spans="1:10" x14ac:dyDescent="0.35">
      <c r="A210">
        <v>309</v>
      </c>
      <c r="B210" t="s">
        <v>565</v>
      </c>
      <c r="C210" t="s">
        <v>39</v>
      </c>
      <c r="D210" t="s">
        <v>43</v>
      </c>
      <c r="E210" t="s">
        <v>566</v>
      </c>
      <c r="F210" t="s">
        <v>567</v>
      </c>
      <c r="G210">
        <v>35368</v>
      </c>
      <c r="H210">
        <v>20179</v>
      </c>
      <c r="I210">
        <v>20835</v>
      </c>
      <c r="J210">
        <v>64016</v>
      </c>
    </row>
    <row r="211" spans="1:10" x14ac:dyDescent="0.35">
      <c r="A211">
        <v>310</v>
      </c>
      <c r="B211" t="s">
        <v>565</v>
      </c>
      <c r="C211" t="s">
        <v>39</v>
      </c>
      <c r="D211" t="s">
        <v>28</v>
      </c>
      <c r="E211" t="s">
        <v>568</v>
      </c>
      <c r="F211" t="s">
        <v>569</v>
      </c>
      <c r="G211">
        <v>77287</v>
      </c>
      <c r="H211">
        <v>22585</v>
      </c>
      <c r="I211">
        <v>75852</v>
      </c>
      <c r="J211">
        <v>39042</v>
      </c>
    </row>
    <row r="212" spans="1:10" x14ac:dyDescent="0.35">
      <c r="A212">
        <v>311</v>
      </c>
      <c r="B212" t="s">
        <v>557</v>
      </c>
      <c r="C212" t="s">
        <v>11</v>
      </c>
      <c r="D212" t="s">
        <v>28</v>
      </c>
      <c r="E212" t="s">
        <v>570</v>
      </c>
      <c r="F212" t="s">
        <v>571</v>
      </c>
      <c r="G212">
        <v>37583</v>
      </c>
      <c r="H212">
        <v>77571</v>
      </c>
      <c r="I212">
        <v>68042</v>
      </c>
      <c r="J212">
        <v>26091</v>
      </c>
    </row>
    <row r="213" spans="1:10" x14ac:dyDescent="0.35">
      <c r="A213">
        <v>312</v>
      </c>
      <c r="B213" t="s">
        <v>398</v>
      </c>
      <c r="C213" t="s">
        <v>55</v>
      </c>
      <c r="D213" t="s">
        <v>20</v>
      </c>
      <c r="E213" t="s">
        <v>572</v>
      </c>
      <c r="F213" t="s">
        <v>573</v>
      </c>
      <c r="G213">
        <v>75335</v>
      </c>
      <c r="H213">
        <v>30446</v>
      </c>
      <c r="I213">
        <v>26796</v>
      </c>
      <c r="J213">
        <v>47264</v>
      </c>
    </row>
    <row r="214" spans="1:10" x14ac:dyDescent="0.35">
      <c r="A214">
        <v>313</v>
      </c>
      <c r="B214" t="s">
        <v>464</v>
      </c>
      <c r="C214" t="s">
        <v>39</v>
      </c>
      <c r="D214" t="s">
        <v>20</v>
      </c>
      <c r="E214" t="s">
        <v>574</v>
      </c>
      <c r="F214" t="s">
        <v>575</v>
      </c>
      <c r="G214">
        <v>37145</v>
      </c>
      <c r="H214">
        <v>62924</v>
      </c>
      <c r="I214">
        <v>40593</v>
      </c>
      <c r="J214">
        <v>20810</v>
      </c>
    </row>
    <row r="215" spans="1:10" x14ac:dyDescent="0.35">
      <c r="A215">
        <v>314</v>
      </c>
      <c r="B215" t="s">
        <v>26</v>
      </c>
      <c r="C215" t="s">
        <v>32</v>
      </c>
      <c r="D215" t="s">
        <v>28</v>
      </c>
      <c r="E215" t="s">
        <v>576</v>
      </c>
      <c r="F215" t="s">
        <v>577</v>
      </c>
      <c r="G215">
        <v>41013</v>
      </c>
      <c r="H215">
        <v>35787</v>
      </c>
      <c r="I215">
        <v>41685</v>
      </c>
      <c r="J215">
        <v>38229</v>
      </c>
    </row>
    <row r="216" spans="1:10" x14ac:dyDescent="0.35">
      <c r="A216">
        <v>315</v>
      </c>
      <c r="B216" t="s">
        <v>256</v>
      </c>
      <c r="C216" t="s">
        <v>16</v>
      </c>
      <c r="D216" t="s">
        <v>43</v>
      </c>
      <c r="E216" t="s">
        <v>578</v>
      </c>
      <c r="F216" t="s">
        <v>579</v>
      </c>
      <c r="G216">
        <v>46439</v>
      </c>
      <c r="H216">
        <v>47023</v>
      </c>
      <c r="I216">
        <v>22348</v>
      </c>
      <c r="J216">
        <v>56512</v>
      </c>
    </row>
    <row r="217" spans="1:10" x14ac:dyDescent="0.35">
      <c r="A217">
        <v>316</v>
      </c>
      <c r="B217" t="s">
        <v>259</v>
      </c>
      <c r="C217" t="s">
        <v>27</v>
      </c>
      <c r="D217" t="s">
        <v>12</v>
      </c>
      <c r="E217" t="s">
        <v>580</v>
      </c>
      <c r="F217" t="s">
        <v>581</v>
      </c>
      <c r="G217">
        <v>41756</v>
      </c>
      <c r="H217">
        <v>56710</v>
      </c>
      <c r="I217">
        <v>70293</v>
      </c>
      <c r="J217">
        <v>60616</v>
      </c>
    </row>
    <row r="218" spans="1:10" x14ac:dyDescent="0.35">
      <c r="A218">
        <v>317</v>
      </c>
      <c r="B218" t="s">
        <v>467</v>
      </c>
      <c r="C218" t="s">
        <v>11</v>
      </c>
      <c r="D218" t="s">
        <v>20</v>
      </c>
      <c r="E218" t="s">
        <v>582</v>
      </c>
      <c r="F218" t="s">
        <v>583</v>
      </c>
      <c r="G218">
        <v>52271</v>
      </c>
      <c r="H218">
        <v>29204</v>
      </c>
      <c r="I218">
        <v>73860</v>
      </c>
      <c r="J218">
        <v>66979</v>
      </c>
    </row>
    <row r="219" spans="1:10" x14ac:dyDescent="0.35">
      <c r="A219">
        <v>318</v>
      </c>
      <c r="B219" t="s">
        <v>584</v>
      </c>
      <c r="C219" t="s">
        <v>32</v>
      </c>
      <c r="D219" t="s">
        <v>43</v>
      </c>
      <c r="E219" t="s">
        <v>585</v>
      </c>
      <c r="F219" t="s">
        <v>586</v>
      </c>
      <c r="G219">
        <v>63152</v>
      </c>
      <c r="H219">
        <v>58621</v>
      </c>
      <c r="I219">
        <v>53043</v>
      </c>
      <c r="J219">
        <v>28823</v>
      </c>
    </row>
    <row r="220" spans="1:10" x14ac:dyDescent="0.35">
      <c r="A220">
        <v>319</v>
      </c>
      <c r="B220" t="s">
        <v>199</v>
      </c>
      <c r="C220" t="s">
        <v>32</v>
      </c>
      <c r="D220" t="s">
        <v>20</v>
      </c>
      <c r="E220" t="s">
        <v>587</v>
      </c>
      <c r="F220" t="s">
        <v>588</v>
      </c>
      <c r="G220">
        <v>59911</v>
      </c>
      <c r="H220">
        <v>65384</v>
      </c>
      <c r="I220">
        <v>69962</v>
      </c>
      <c r="J220">
        <v>36268</v>
      </c>
    </row>
    <row r="221" spans="1:10" x14ac:dyDescent="0.35">
      <c r="A221">
        <v>320</v>
      </c>
      <c r="B221" t="s">
        <v>386</v>
      </c>
      <c r="C221" t="s">
        <v>111</v>
      </c>
      <c r="D221" t="s">
        <v>20</v>
      </c>
      <c r="E221" t="s">
        <v>589</v>
      </c>
      <c r="F221" t="s">
        <v>590</v>
      </c>
      <c r="G221">
        <v>33743</v>
      </c>
      <c r="H221">
        <v>60905</v>
      </c>
      <c r="I221">
        <v>66817</v>
      </c>
      <c r="J221">
        <v>39043</v>
      </c>
    </row>
    <row r="222" spans="1:10" x14ac:dyDescent="0.35">
      <c r="A222">
        <v>321</v>
      </c>
      <c r="B222" t="s">
        <v>591</v>
      </c>
      <c r="C222" t="s">
        <v>32</v>
      </c>
      <c r="D222" t="s">
        <v>12</v>
      </c>
      <c r="E222" t="s">
        <v>592</v>
      </c>
      <c r="F222" t="s">
        <v>593</v>
      </c>
      <c r="G222">
        <v>26977</v>
      </c>
      <c r="H222">
        <v>21656</v>
      </c>
      <c r="I222">
        <v>44960</v>
      </c>
      <c r="J222">
        <v>29524</v>
      </c>
    </row>
    <row r="223" spans="1:10" x14ac:dyDescent="0.35">
      <c r="A223">
        <v>322</v>
      </c>
      <c r="B223" t="s">
        <v>594</v>
      </c>
      <c r="C223" t="s">
        <v>111</v>
      </c>
      <c r="D223" t="s">
        <v>43</v>
      </c>
      <c r="E223" t="s">
        <v>595</v>
      </c>
      <c r="F223" t="s">
        <v>596</v>
      </c>
      <c r="G223">
        <v>26716</v>
      </c>
      <c r="H223">
        <v>60377</v>
      </c>
      <c r="I223">
        <v>76887</v>
      </c>
      <c r="J223">
        <v>64271</v>
      </c>
    </row>
    <row r="224" spans="1:10" x14ac:dyDescent="0.35">
      <c r="A224">
        <v>323</v>
      </c>
      <c r="B224" t="s">
        <v>256</v>
      </c>
      <c r="C224" t="s">
        <v>39</v>
      </c>
      <c r="D224" t="s">
        <v>12</v>
      </c>
      <c r="E224" t="s">
        <v>597</v>
      </c>
      <c r="F224" t="s">
        <v>598</v>
      </c>
      <c r="G224">
        <v>33309</v>
      </c>
      <c r="H224">
        <v>60669</v>
      </c>
      <c r="I224">
        <v>76940</v>
      </c>
      <c r="J224">
        <v>71178</v>
      </c>
    </row>
    <row r="225" spans="1:10" x14ac:dyDescent="0.35">
      <c r="A225">
        <v>324</v>
      </c>
      <c r="B225" t="s">
        <v>507</v>
      </c>
      <c r="C225" t="s">
        <v>27</v>
      </c>
      <c r="D225" t="s">
        <v>43</v>
      </c>
      <c r="E225" t="s">
        <v>508</v>
      </c>
      <c r="F225" t="s">
        <v>599</v>
      </c>
      <c r="G225">
        <v>48082</v>
      </c>
      <c r="H225">
        <v>38291</v>
      </c>
      <c r="I225">
        <v>56477</v>
      </c>
      <c r="J225">
        <v>37317</v>
      </c>
    </row>
    <row r="226" spans="1:10" x14ac:dyDescent="0.35">
      <c r="A226">
        <v>325</v>
      </c>
      <c r="B226" t="s">
        <v>600</v>
      </c>
      <c r="C226" t="s">
        <v>55</v>
      </c>
      <c r="D226" t="s">
        <v>12</v>
      </c>
      <c r="E226" t="s">
        <v>601</v>
      </c>
      <c r="F226" t="s">
        <v>602</v>
      </c>
      <c r="G226">
        <v>54432</v>
      </c>
      <c r="H226">
        <v>34415</v>
      </c>
      <c r="I226">
        <v>32050</v>
      </c>
      <c r="J226">
        <v>54118</v>
      </c>
    </row>
    <row r="227" spans="1:10" x14ac:dyDescent="0.35">
      <c r="A227">
        <v>326</v>
      </c>
      <c r="B227" t="s">
        <v>603</v>
      </c>
      <c r="C227" t="s">
        <v>32</v>
      </c>
      <c r="D227" t="s">
        <v>20</v>
      </c>
      <c r="E227" t="s">
        <v>604</v>
      </c>
      <c r="F227" t="s">
        <v>605</v>
      </c>
      <c r="G227">
        <v>63839</v>
      </c>
      <c r="H227">
        <v>42675</v>
      </c>
      <c r="I227">
        <v>49207</v>
      </c>
      <c r="J227">
        <v>35751</v>
      </c>
    </row>
    <row r="228" spans="1:10" x14ac:dyDescent="0.35">
      <c r="A228">
        <v>327</v>
      </c>
      <c r="B228" t="s">
        <v>333</v>
      </c>
      <c r="C228" t="s">
        <v>11</v>
      </c>
      <c r="D228" t="s">
        <v>12</v>
      </c>
      <c r="E228" t="s">
        <v>606</v>
      </c>
      <c r="F228" t="s">
        <v>607</v>
      </c>
      <c r="G228">
        <v>39427</v>
      </c>
      <c r="H228">
        <v>78869</v>
      </c>
      <c r="I228">
        <v>62698</v>
      </c>
      <c r="J228">
        <v>32616</v>
      </c>
    </row>
    <row r="229" spans="1:10" x14ac:dyDescent="0.35">
      <c r="A229">
        <v>328</v>
      </c>
      <c r="B229" t="s">
        <v>608</v>
      </c>
      <c r="C229" t="s">
        <v>39</v>
      </c>
      <c r="D229" t="s">
        <v>28</v>
      </c>
      <c r="E229" t="s">
        <v>609</v>
      </c>
      <c r="F229" t="s">
        <v>610</v>
      </c>
      <c r="G229">
        <v>21556</v>
      </c>
      <c r="H229">
        <v>50095</v>
      </c>
      <c r="I229">
        <v>66980</v>
      </c>
      <c r="J229">
        <v>41739</v>
      </c>
    </row>
    <row r="230" spans="1:10" x14ac:dyDescent="0.35">
      <c r="A230">
        <v>329</v>
      </c>
      <c r="B230" t="s">
        <v>238</v>
      </c>
      <c r="C230" t="s">
        <v>55</v>
      </c>
      <c r="D230" t="s">
        <v>43</v>
      </c>
      <c r="E230" t="s">
        <v>611</v>
      </c>
      <c r="F230" t="s">
        <v>612</v>
      </c>
      <c r="G230">
        <v>40735</v>
      </c>
      <c r="H230">
        <v>21106</v>
      </c>
      <c r="I230">
        <v>45526</v>
      </c>
      <c r="J230">
        <v>64125</v>
      </c>
    </row>
    <row r="231" spans="1:10" x14ac:dyDescent="0.35">
      <c r="A231">
        <v>330</v>
      </c>
      <c r="B231" t="s">
        <v>259</v>
      </c>
      <c r="C231" t="s">
        <v>27</v>
      </c>
      <c r="D231" t="s">
        <v>28</v>
      </c>
      <c r="E231" t="s">
        <v>613</v>
      </c>
      <c r="F231" t="s">
        <v>614</v>
      </c>
      <c r="G231">
        <v>45894</v>
      </c>
      <c r="H231">
        <v>73878</v>
      </c>
      <c r="I231">
        <v>63301</v>
      </c>
      <c r="J231">
        <v>22019</v>
      </c>
    </row>
    <row r="232" spans="1:10" x14ac:dyDescent="0.35">
      <c r="A232">
        <v>331</v>
      </c>
      <c r="B232" t="s">
        <v>470</v>
      </c>
      <c r="C232" t="s">
        <v>39</v>
      </c>
      <c r="D232" t="s">
        <v>20</v>
      </c>
      <c r="E232" t="s">
        <v>615</v>
      </c>
      <c r="F232" t="s">
        <v>616</v>
      </c>
      <c r="G232">
        <v>45826</v>
      </c>
      <c r="H232">
        <v>55202</v>
      </c>
      <c r="I232">
        <v>55882</v>
      </c>
      <c r="J232">
        <v>25578</v>
      </c>
    </row>
    <row r="233" spans="1:10" x14ac:dyDescent="0.35">
      <c r="A233">
        <v>332</v>
      </c>
      <c r="B233" t="s">
        <v>617</v>
      </c>
      <c r="C233" t="s">
        <v>39</v>
      </c>
      <c r="D233" t="s">
        <v>20</v>
      </c>
      <c r="E233" t="s">
        <v>618</v>
      </c>
      <c r="F233" t="s">
        <v>619</v>
      </c>
      <c r="G233">
        <v>50229</v>
      </c>
      <c r="H233">
        <v>62249</v>
      </c>
      <c r="I233">
        <v>56022</v>
      </c>
      <c r="J233">
        <v>24793</v>
      </c>
    </row>
    <row r="234" spans="1:10" x14ac:dyDescent="0.35">
      <c r="A234">
        <v>333</v>
      </c>
      <c r="B234" t="s">
        <v>620</v>
      </c>
      <c r="C234" t="s">
        <v>55</v>
      </c>
      <c r="D234" t="s">
        <v>43</v>
      </c>
      <c r="E234" t="s">
        <v>621</v>
      </c>
      <c r="F234" t="s">
        <v>622</v>
      </c>
      <c r="G234">
        <v>40826</v>
      </c>
      <c r="H234">
        <v>51841</v>
      </c>
      <c r="I234">
        <v>49533</v>
      </c>
      <c r="J234">
        <v>41518</v>
      </c>
    </row>
    <row r="235" spans="1:10" x14ac:dyDescent="0.35">
      <c r="A235">
        <v>334</v>
      </c>
      <c r="B235" t="s">
        <v>370</v>
      </c>
      <c r="C235" t="s">
        <v>32</v>
      </c>
      <c r="D235" t="s">
        <v>12</v>
      </c>
      <c r="E235" t="s">
        <v>623</v>
      </c>
      <c r="F235" t="s">
        <v>624</v>
      </c>
      <c r="G235">
        <v>77533</v>
      </c>
      <c r="H235">
        <v>51454</v>
      </c>
      <c r="I235">
        <v>50333</v>
      </c>
      <c r="J235">
        <v>49186</v>
      </c>
    </row>
    <row r="236" spans="1:10" x14ac:dyDescent="0.35">
      <c r="A236">
        <v>335</v>
      </c>
      <c r="B236" t="s">
        <v>285</v>
      </c>
      <c r="C236" t="s">
        <v>32</v>
      </c>
      <c r="D236" t="s">
        <v>28</v>
      </c>
      <c r="E236" t="s">
        <v>286</v>
      </c>
      <c r="F236" t="s">
        <v>625</v>
      </c>
      <c r="G236">
        <v>75678</v>
      </c>
      <c r="H236">
        <v>53238</v>
      </c>
      <c r="I236">
        <v>61394</v>
      </c>
      <c r="J236">
        <v>22044</v>
      </c>
    </row>
    <row r="237" spans="1:10" x14ac:dyDescent="0.35">
      <c r="A237">
        <v>336</v>
      </c>
      <c r="B237" t="s">
        <v>117</v>
      </c>
      <c r="C237" t="s">
        <v>55</v>
      </c>
      <c r="D237" t="s">
        <v>12</v>
      </c>
      <c r="E237" t="s">
        <v>626</v>
      </c>
      <c r="F237" t="s">
        <v>627</v>
      </c>
      <c r="G237">
        <v>53450</v>
      </c>
      <c r="H237">
        <v>25934</v>
      </c>
      <c r="I237">
        <v>46003</v>
      </c>
      <c r="J237">
        <v>43846</v>
      </c>
    </row>
    <row r="238" spans="1:10" x14ac:dyDescent="0.35">
      <c r="A238">
        <v>337</v>
      </c>
      <c r="B238" t="s">
        <v>628</v>
      </c>
      <c r="C238" t="s">
        <v>27</v>
      </c>
      <c r="D238" t="s">
        <v>43</v>
      </c>
      <c r="E238" t="s">
        <v>629</v>
      </c>
      <c r="F238" t="s">
        <v>630</v>
      </c>
      <c r="G238">
        <v>37324</v>
      </c>
      <c r="H238">
        <v>44211</v>
      </c>
      <c r="I238">
        <v>35336</v>
      </c>
      <c r="J238">
        <v>22805</v>
      </c>
    </row>
    <row r="239" spans="1:10" x14ac:dyDescent="0.35">
      <c r="A239">
        <v>338</v>
      </c>
      <c r="B239" t="s">
        <v>631</v>
      </c>
      <c r="C239" t="s">
        <v>16</v>
      </c>
      <c r="D239" t="s">
        <v>20</v>
      </c>
      <c r="E239" t="s">
        <v>632</v>
      </c>
      <c r="F239" t="s">
        <v>633</v>
      </c>
      <c r="G239">
        <v>62839</v>
      </c>
      <c r="H239">
        <v>44806</v>
      </c>
      <c r="I239">
        <v>43940</v>
      </c>
      <c r="J239">
        <v>58514</v>
      </c>
    </row>
    <row r="240" spans="1:10" x14ac:dyDescent="0.35">
      <c r="A240">
        <v>339</v>
      </c>
      <c r="B240" t="s">
        <v>63</v>
      </c>
      <c r="C240" t="s">
        <v>39</v>
      </c>
      <c r="D240" t="s">
        <v>20</v>
      </c>
      <c r="E240" t="s">
        <v>634</v>
      </c>
      <c r="F240" t="s">
        <v>635</v>
      </c>
      <c r="G240">
        <v>25052</v>
      </c>
      <c r="H240">
        <v>53720</v>
      </c>
      <c r="I240">
        <v>62170</v>
      </c>
      <c r="J240">
        <v>38403</v>
      </c>
    </row>
    <row r="241" spans="1:10" x14ac:dyDescent="0.35">
      <c r="A241">
        <v>340</v>
      </c>
      <c r="B241" t="s">
        <v>591</v>
      </c>
      <c r="C241" t="s">
        <v>39</v>
      </c>
      <c r="D241" t="s">
        <v>12</v>
      </c>
      <c r="E241" t="s">
        <v>636</v>
      </c>
      <c r="F241" t="s">
        <v>637</v>
      </c>
      <c r="G241">
        <v>58718</v>
      </c>
      <c r="H241">
        <v>30567</v>
      </c>
      <c r="I241">
        <v>62418</v>
      </c>
      <c r="J241">
        <v>74615</v>
      </c>
    </row>
    <row r="242" spans="1:10" x14ac:dyDescent="0.35">
      <c r="A242">
        <v>341</v>
      </c>
      <c r="B242" t="s">
        <v>628</v>
      </c>
      <c r="C242" t="s">
        <v>55</v>
      </c>
      <c r="D242" t="s">
        <v>43</v>
      </c>
      <c r="E242" t="s">
        <v>629</v>
      </c>
      <c r="F242" t="s">
        <v>638</v>
      </c>
      <c r="G242">
        <v>56936</v>
      </c>
      <c r="H242">
        <v>61787</v>
      </c>
      <c r="I242">
        <v>21220</v>
      </c>
      <c r="J242">
        <v>77573</v>
      </c>
    </row>
    <row r="243" spans="1:10" x14ac:dyDescent="0.35">
      <c r="A243">
        <v>342</v>
      </c>
      <c r="B243" t="s">
        <v>639</v>
      </c>
      <c r="C243" t="s">
        <v>16</v>
      </c>
      <c r="D243" t="s">
        <v>20</v>
      </c>
      <c r="E243" t="s">
        <v>640</v>
      </c>
      <c r="F243" t="s">
        <v>641</v>
      </c>
      <c r="G243">
        <v>49718</v>
      </c>
      <c r="H243">
        <v>59094</v>
      </c>
      <c r="I243">
        <v>58705</v>
      </c>
      <c r="J243">
        <v>24511</v>
      </c>
    </row>
    <row r="244" spans="1:10" x14ac:dyDescent="0.35">
      <c r="A244">
        <v>343</v>
      </c>
      <c r="B244" t="s">
        <v>642</v>
      </c>
      <c r="C244" t="s">
        <v>39</v>
      </c>
      <c r="D244" t="s">
        <v>28</v>
      </c>
      <c r="E244" t="s">
        <v>643</v>
      </c>
      <c r="F244" t="s">
        <v>644</v>
      </c>
      <c r="G244">
        <v>59309</v>
      </c>
      <c r="H244">
        <v>22558</v>
      </c>
      <c r="I244">
        <v>77524</v>
      </c>
      <c r="J244">
        <v>71371</v>
      </c>
    </row>
    <row r="245" spans="1:10" x14ac:dyDescent="0.35">
      <c r="A245">
        <v>344</v>
      </c>
      <c r="B245" t="s">
        <v>645</v>
      </c>
      <c r="C245" t="s">
        <v>16</v>
      </c>
      <c r="D245" t="s">
        <v>43</v>
      </c>
      <c r="E245" t="s">
        <v>646</v>
      </c>
      <c r="F245" t="s">
        <v>647</v>
      </c>
      <c r="G245">
        <v>71744</v>
      </c>
      <c r="H245">
        <v>70375</v>
      </c>
      <c r="I245">
        <v>44984</v>
      </c>
      <c r="J245">
        <v>42971</v>
      </c>
    </row>
    <row r="246" spans="1:10" x14ac:dyDescent="0.35">
      <c r="A246">
        <v>345</v>
      </c>
      <c r="B246" t="s">
        <v>95</v>
      </c>
      <c r="C246" t="s">
        <v>39</v>
      </c>
      <c r="D246" t="s">
        <v>12</v>
      </c>
      <c r="E246" t="s">
        <v>648</v>
      </c>
      <c r="F246" t="s">
        <v>649</v>
      </c>
      <c r="G246">
        <v>57878</v>
      </c>
      <c r="H246">
        <v>54245</v>
      </c>
      <c r="I246">
        <v>27722</v>
      </c>
      <c r="J246">
        <v>54063</v>
      </c>
    </row>
    <row r="247" spans="1:10" x14ac:dyDescent="0.35">
      <c r="A247">
        <v>346</v>
      </c>
      <c r="B247" t="s">
        <v>117</v>
      </c>
      <c r="C247" t="s">
        <v>11</v>
      </c>
      <c r="D247" t="s">
        <v>12</v>
      </c>
      <c r="E247" t="s">
        <v>650</v>
      </c>
      <c r="F247" t="s">
        <v>651</v>
      </c>
      <c r="G247">
        <v>69477</v>
      </c>
      <c r="H247">
        <v>33349</v>
      </c>
      <c r="I247">
        <v>47081</v>
      </c>
      <c r="J247">
        <v>56182</v>
      </c>
    </row>
    <row r="248" spans="1:10" x14ac:dyDescent="0.35">
      <c r="A248">
        <v>347</v>
      </c>
      <c r="B248" t="s">
        <v>652</v>
      </c>
      <c r="C248" t="s">
        <v>111</v>
      </c>
      <c r="D248" t="s">
        <v>20</v>
      </c>
      <c r="E248" t="s">
        <v>653</v>
      </c>
      <c r="F248" t="s">
        <v>654</v>
      </c>
      <c r="G248">
        <v>71321</v>
      </c>
      <c r="H248">
        <v>65830</v>
      </c>
      <c r="I248">
        <v>30603</v>
      </c>
      <c r="J248">
        <v>26571</v>
      </c>
    </row>
    <row r="249" spans="1:10" x14ac:dyDescent="0.35">
      <c r="A249">
        <v>348</v>
      </c>
      <c r="B249" t="s">
        <v>386</v>
      </c>
      <c r="C249" t="s">
        <v>27</v>
      </c>
      <c r="D249" t="s">
        <v>28</v>
      </c>
      <c r="E249" t="s">
        <v>589</v>
      </c>
      <c r="F249" t="s">
        <v>655</v>
      </c>
      <c r="G249">
        <v>25245</v>
      </c>
      <c r="H249">
        <v>59913</v>
      </c>
      <c r="I249">
        <v>22474</v>
      </c>
      <c r="J249">
        <v>67480</v>
      </c>
    </row>
    <row r="250" spans="1:10" x14ac:dyDescent="0.35">
      <c r="A250">
        <v>349</v>
      </c>
      <c r="B250" t="s">
        <v>86</v>
      </c>
      <c r="C250" t="s">
        <v>11</v>
      </c>
      <c r="D250" t="s">
        <v>28</v>
      </c>
      <c r="E250" t="s">
        <v>87</v>
      </c>
      <c r="F250" t="s">
        <v>656</v>
      </c>
      <c r="G250">
        <v>62927</v>
      </c>
      <c r="H250">
        <v>20018</v>
      </c>
      <c r="I250">
        <v>30318</v>
      </c>
      <c r="J250">
        <v>25691</v>
      </c>
    </row>
    <row r="251" spans="1:10" x14ac:dyDescent="0.35">
      <c r="A251">
        <v>350</v>
      </c>
      <c r="B251" t="s">
        <v>190</v>
      </c>
      <c r="C251" t="s">
        <v>11</v>
      </c>
      <c r="D251" t="s">
        <v>20</v>
      </c>
      <c r="E251" t="s">
        <v>191</v>
      </c>
      <c r="F251" t="s">
        <v>657</v>
      </c>
      <c r="G251">
        <v>59738</v>
      </c>
      <c r="H251">
        <v>32748</v>
      </c>
      <c r="I251">
        <v>49803</v>
      </c>
      <c r="J251">
        <v>46473</v>
      </c>
    </row>
    <row r="252" spans="1:10" x14ac:dyDescent="0.35">
      <c r="A252">
        <v>351</v>
      </c>
      <c r="B252" t="s">
        <v>218</v>
      </c>
      <c r="C252" t="s">
        <v>39</v>
      </c>
      <c r="D252" t="s">
        <v>20</v>
      </c>
      <c r="E252" t="s">
        <v>658</v>
      </c>
      <c r="F252" t="s">
        <v>659</v>
      </c>
      <c r="G252">
        <v>44712</v>
      </c>
      <c r="H252">
        <v>56907</v>
      </c>
      <c r="I252">
        <v>51695</v>
      </c>
      <c r="J252">
        <v>70460</v>
      </c>
    </row>
    <row r="253" spans="1:10" x14ac:dyDescent="0.35">
      <c r="A253">
        <v>352</v>
      </c>
      <c r="B253" t="s">
        <v>89</v>
      </c>
      <c r="C253" t="s">
        <v>11</v>
      </c>
      <c r="D253" t="s">
        <v>20</v>
      </c>
      <c r="E253" t="s">
        <v>660</v>
      </c>
      <c r="F253" t="s">
        <v>661</v>
      </c>
      <c r="G253">
        <v>53849</v>
      </c>
      <c r="H253">
        <v>55104</v>
      </c>
      <c r="I253">
        <v>20637</v>
      </c>
      <c r="J253">
        <v>65928</v>
      </c>
    </row>
    <row r="254" spans="1:10" x14ac:dyDescent="0.35">
      <c r="A254">
        <v>353</v>
      </c>
      <c r="B254" t="s">
        <v>662</v>
      </c>
      <c r="C254" t="s">
        <v>55</v>
      </c>
      <c r="D254" t="s">
        <v>20</v>
      </c>
      <c r="E254" t="s">
        <v>663</v>
      </c>
      <c r="F254" t="s">
        <v>664</v>
      </c>
      <c r="G254">
        <v>52702</v>
      </c>
      <c r="H254">
        <v>68307</v>
      </c>
      <c r="I254">
        <v>33085</v>
      </c>
      <c r="J254">
        <v>35391</v>
      </c>
    </row>
    <row r="255" spans="1:10" x14ac:dyDescent="0.35">
      <c r="A255">
        <v>354</v>
      </c>
      <c r="B255" t="s">
        <v>665</v>
      </c>
      <c r="C255" t="s">
        <v>39</v>
      </c>
      <c r="D255" t="s">
        <v>43</v>
      </c>
      <c r="E255" t="s">
        <v>666</v>
      </c>
      <c r="F255" t="s">
        <v>667</v>
      </c>
      <c r="G255">
        <v>22769</v>
      </c>
      <c r="H255">
        <v>75575</v>
      </c>
      <c r="I255">
        <v>51607</v>
      </c>
      <c r="J255">
        <v>44326</v>
      </c>
    </row>
    <row r="256" spans="1:10" x14ac:dyDescent="0.35">
      <c r="A256">
        <v>355</v>
      </c>
      <c r="B256" t="s">
        <v>321</v>
      </c>
      <c r="C256" t="s">
        <v>32</v>
      </c>
      <c r="D256" t="s">
        <v>12</v>
      </c>
      <c r="E256" t="s">
        <v>668</v>
      </c>
      <c r="F256" t="s">
        <v>669</v>
      </c>
      <c r="G256">
        <v>55439</v>
      </c>
      <c r="H256">
        <v>22134</v>
      </c>
      <c r="I256">
        <v>52930</v>
      </c>
      <c r="J256">
        <v>42759</v>
      </c>
    </row>
    <row r="257" spans="1:10" x14ac:dyDescent="0.35">
      <c r="A257">
        <v>356</v>
      </c>
      <c r="B257" t="s">
        <v>670</v>
      </c>
      <c r="C257" t="s">
        <v>55</v>
      </c>
      <c r="D257" t="s">
        <v>20</v>
      </c>
      <c r="E257" t="s">
        <v>671</v>
      </c>
      <c r="F257" t="s">
        <v>672</v>
      </c>
      <c r="G257">
        <v>37226</v>
      </c>
      <c r="H257">
        <v>35541</v>
      </c>
      <c r="I257">
        <v>37655</v>
      </c>
      <c r="J257">
        <v>50890</v>
      </c>
    </row>
    <row r="258" spans="1:10" x14ac:dyDescent="0.35">
      <c r="A258">
        <v>357</v>
      </c>
      <c r="B258" t="s">
        <v>673</v>
      </c>
      <c r="C258" t="s">
        <v>39</v>
      </c>
      <c r="D258" t="s">
        <v>20</v>
      </c>
      <c r="E258" t="s">
        <v>674</v>
      </c>
      <c r="F258" t="s">
        <v>675</v>
      </c>
      <c r="G258">
        <v>72431</v>
      </c>
      <c r="H258">
        <v>68401</v>
      </c>
      <c r="I258">
        <v>29800</v>
      </c>
      <c r="J258">
        <v>50997</v>
      </c>
    </row>
    <row r="259" spans="1:10" x14ac:dyDescent="0.35">
      <c r="A259">
        <v>358</v>
      </c>
      <c r="B259" t="s">
        <v>603</v>
      </c>
      <c r="C259" t="s">
        <v>16</v>
      </c>
      <c r="D259" t="s">
        <v>43</v>
      </c>
      <c r="E259" t="s">
        <v>676</v>
      </c>
      <c r="F259" t="s">
        <v>677</v>
      </c>
      <c r="G259">
        <v>23934</v>
      </c>
      <c r="H259">
        <v>34120</v>
      </c>
      <c r="I259">
        <v>73334</v>
      </c>
      <c r="J259">
        <v>36665</v>
      </c>
    </row>
    <row r="260" spans="1:10" x14ac:dyDescent="0.35">
      <c r="A260">
        <v>359</v>
      </c>
      <c r="B260" t="s">
        <v>678</v>
      </c>
      <c r="C260" t="s">
        <v>11</v>
      </c>
      <c r="D260" t="s">
        <v>12</v>
      </c>
      <c r="E260" t="s">
        <v>679</v>
      </c>
      <c r="F260" t="s">
        <v>680</v>
      </c>
      <c r="G260">
        <v>57741</v>
      </c>
      <c r="H260">
        <v>62589</v>
      </c>
      <c r="I260">
        <v>62541</v>
      </c>
      <c r="J260">
        <v>55287</v>
      </c>
    </row>
    <row r="261" spans="1:10" x14ac:dyDescent="0.35">
      <c r="A261">
        <v>360</v>
      </c>
      <c r="B261" t="s">
        <v>681</v>
      </c>
      <c r="C261" t="s">
        <v>111</v>
      </c>
      <c r="D261" t="s">
        <v>20</v>
      </c>
      <c r="E261" t="s">
        <v>682</v>
      </c>
      <c r="F261" t="s">
        <v>683</v>
      </c>
      <c r="G261">
        <v>61371</v>
      </c>
      <c r="H261">
        <v>60128</v>
      </c>
      <c r="I261">
        <v>57462</v>
      </c>
      <c r="J261">
        <v>46527</v>
      </c>
    </row>
    <row r="262" spans="1:10" x14ac:dyDescent="0.35">
      <c r="A262">
        <v>361</v>
      </c>
      <c r="B262" t="s">
        <v>60</v>
      </c>
      <c r="C262" t="s">
        <v>111</v>
      </c>
      <c r="D262" t="s">
        <v>43</v>
      </c>
      <c r="E262" t="s">
        <v>684</v>
      </c>
      <c r="F262" t="s">
        <v>685</v>
      </c>
      <c r="G262">
        <v>32051</v>
      </c>
      <c r="H262">
        <v>75981</v>
      </c>
      <c r="I262">
        <v>21513</v>
      </c>
      <c r="J262">
        <v>28194</v>
      </c>
    </row>
    <row r="263" spans="1:10" x14ac:dyDescent="0.35">
      <c r="A263">
        <v>362</v>
      </c>
      <c r="B263" t="s">
        <v>80</v>
      </c>
      <c r="C263" t="s">
        <v>39</v>
      </c>
      <c r="D263" t="s">
        <v>43</v>
      </c>
      <c r="E263" t="s">
        <v>686</v>
      </c>
      <c r="F263" t="s">
        <v>687</v>
      </c>
      <c r="G263">
        <v>37200</v>
      </c>
      <c r="H263">
        <v>60507</v>
      </c>
      <c r="I263">
        <v>30176</v>
      </c>
      <c r="J263">
        <v>25525</v>
      </c>
    </row>
    <row r="264" spans="1:10" x14ac:dyDescent="0.35">
      <c r="A264">
        <v>363</v>
      </c>
      <c r="B264" t="s">
        <v>688</v>
      </c>
      <c r="C264" t="s">
        <v>39</v>
      </c>
      <c r="D264" t="s">
        <v>12</v>
      </c>
      <c r="E264" t="s">
        <v>689</v>
      </c>
      <c r="F264" t="s">
        <v>690</v>
      </c>
      <c r="G264">
        <v>37852</v>
      </c>
      <c r="H264">
        <v>55949</v>
      </c>
      <c r="I264">
        <v>49153</v>
      </c>
      <c r="J264">
        <v>28854</v>
      </c>
    </row>
    <row r="265" spans="1:10" x14ac:dyDescent="0.35">
      <c r="A265">
        <v>364</v>
      </c>
      <c r="B265" t="s">
        <v>670</v>
      </c>
      <c r="C265" t="s">
        <v>11</v>
      </c>
      <c r="D265" t="s">
        <v>20</v>
      </c>
      <c r="E265" t="s">
        <v>691</v>
      </c>
      <c r="F265" t="s">
        <v>692</v>
      </c>
      <c r="G265">
        <v>47014</v>
      </c>
      <c r="H265">
        <v>37026</v>
      </c>
      <c r="I265">
        <v>30205</v>
      </c>
      <c r="J265">
        <v>39894</v>
      </c>
    </row>
    <row r="266" spans="1:10" x14ac:dyDescent="0.35">
      <c r="A266">
        <v>365</v>
      </c>
      <c r="B266" t="s">
        <v>693</v>
      </c>
      <c r="C266" t="s">
        <v>111</v>
      </c>
      <c r="D266" t="s">
        <v>12</v>
      </c>
      <c r="E266" t="s">
        <v>694</v>
      </c>
      <c r="F266" t="s">
        <v>695</v>
      </c>
      <c r="G266">
        <v>35152</v>
      </c>
      <c r="H266">
        <v>72216</v>
      </c>
      <c r="I266">
        <v>20473</v>
      </c>
      <c r="J266">
        <v>55927</v>
      </c>
    </row>
    <row r="267" spans="1:10" x14ac:dyDescent="0.35">
      <c r="A267">
        <v>366</v>
      </c>
      <c r="B267" t="s">
        <v>209</v>
      </c>
      <c r="C267" t="s">
        <v>32</v>
      </c>
      <c r="D267" t="s">
        <v>20</v>
      </c>
      <c r="E267" t="s">
        <v>210</v>
      </c>
      <c r="F267" t="s">
        <v>696</v>
      </c>
      <c r="G267">
        <v>53856</v>
      </c>
      <c r="H267">
        <v>70104</v>
      </c>
      <c r="I267">
        <v>72426</v>
      </c>
      <c r="J267">
        <v>79634</v>
      </c>
    </row>
    <row r="268" spans="1:10" x14ac:dyDescent="0.35">
      <c r="A268">
        <v>367</v>
      </c>
      <c r="B268" t="s">
        <v>515</v>
      </c>
      <c r="C268" t="s">
        <v>11</v>
      </c>
      <c r="D268" t="s">
        <v>12</v>
      </c>
      <c r="E268" t="s">
        <v>697</v>
      </c>
      <c r="F268" t="s">
        <v>698</v>
      </c>
      <c r="G268">
        <v>41013</v>
      </c>
      <c r="H268">
        <v>21271</v>
      </c>
      <c r="I268">
        <v>29971</v>
      </c>
      <c r="J268">
        <v>23252</v>
      </c>
    </row>
    <row r="269" spans="1:10" x14ac:dyDescent="0.35">
      <c r="A269">
        <v>368</v>
      </c>
      <c r="B269" t="s">
        <v>699</v>
      </c>
      <c r="C269" t="s">
        <v>55</v>
      </c>
      <c r="D269" t="s">
        <v>12</v>
      </c>
      <c r="E269" t="s">
        <v>700</v>
      </c>
      <c r="F269" t="s">
        <v>701</v>
      </c>
      <c r="G269">
        <v>40419</v>
      </c>
      <c r="H269">
        <v>71493</v>
      </c>
      <c r="I269">
        <v>72393</v>
      </c>
      <c r="J269">
        <v>52662</v>
      </c>
    </row>
    <row r="270" spans="1:10" x14ac:dyDescent="0.35">
      <c r="A270">
        <v>369</v>
      </c>
      <c r="B270" t="s">
        <v>52</v>
      </c>
      <c r="C270" t="s">
        <v>111</v>
      </c>
      <c r="D270" t="s">
        <v>28</v>
      </c>
      <c r="E270" t="s">
        <v>702</v>
      </c>
      <c r="F270" t="s">
        <v>703</v>
      </c>
      <c r="G270">
        <v>45218</v>
      </c>
      <c r="H270">
        <v>70543</v>
      </c>
      <c r="I270">
        <v>49029</v>
      </c>
      <c r="J270">
        <v>36198</v>
      </c>
    </row>
    <row r="271" spans="1:10" x14ac:dyDescent="0.35">
      <c r="A271">
        <v>370</v>
      </c>
      <c r="B271" t="s">
        <v>196</v>
      </c>
      <c r="C271" t="s">
        <v>11</v>
      </c>
      <c r="D271" t="s">
        <v>28</v>
      </c>
      <c r="E271" t="s">
        <v>704</v>
      </c>
      <c r="F271" t="s">
        <v>705</v>
      </c>
      <c r="G271">
        <v>61846</v>
      </c>
      <c r="H271">
        <v>39583</v>
      </c>
      <c r="I271">
        <v>33023</v>
      </c>
      <c r="J271">
        <v>43620</v>
      </c>
    </row>
    <row r="272" spans="1:10" x14ac:dyDescent="0.35">
      <c r="A272">
        <v>371</v>
      </c>
      <c r="B272" t="s">
        <v>518</v>
      </c>
      <c r="C272" t="s">
        <v>39</v>
      </c>
      <c r="D272" t="s">
        <v>20</v>
      </c>
      <c r="E272" t="s">
        <v>706</v>
      </c>
      <c r="F272" t="s">
        <v>707</v>
      </c>
      <c r="G272">
        <v>30157</v>
      </c>
      <c r="H272">
        <v>44339</v>
      </c>
      <c r="I272">
        <v>70514</v>
      </c>
      <c r="J272">
        <v>25864</v>
      </c>
    </row>
    <row r="273" spans="1:10" x14ac:dyDescent="0.35">
      <c r="A273">
        <v>372</v>
      </c>
      <c r="B273" t="s">
        <v>422</v>
      </c>
      <c r="C273" t="s">
        <v>55</v>
      </c>
      <c r="D273" t="s">
        <v>12</v>
      </c>
      <c r="E273" t="s">
        <v>708</v>
      </c>
      <c r="F273" t="s">
        <v>709</v>
      </c>
      <c r="G273">
        <v>40757</v>
      </c>
      <c r="H273">
        <v>56592</v>
      </c>
      <c r="I273">
        <v>71679</v>
      </c>
      <c r="J273">
        <v>62247</v>
      </c>
    </row>
    <row r="274" spans="1:10" x14ac:dyDescent="0.35">
      <c r="A274">
        <v>373</v>
      </c>
      <c r="B274" t="s">
        <v>710</v>
      </c>
      <c r="C274" t="s">
        <v>55</v>
      </c>
      <c r="D274" t="s">
        <v>20</v>
      </c>
      <c r="E274" t="s">
        <v>711</v>
      </c>
      <c r="F274" t="s">
        <v>712</v>
      </c>
      <c r="G274">
        <v>32230</v>
      </c>
      <c r="H274">
        <v>55626</v>
      </c>
      <c r="I274">
        <v>42784</v>
      </c>
      <c r="J274">
        <v>41212</v>
      </c>
    </row>
    <row r="275" spans="1:10" x14ac:dyDescent="0.35">
      <c r="A275">
        <v>374</v>
      </c>
      <c r="B275" t="s">
        <v>713</v>
      </c>
      <c r="C275" t="s">
        <v>55</v>
      </c>
      <c r="D275" t="s">
        <v>43</v>
      </c>
      <c r="E275" t="s">
        <v>714</v>
      </c>
      <c r="F275" t="s">
        <v>715</v>
      </c>
      <c r="G275">
        <v>76153</v>
      </c>
      <c r="H275">
        <v>43860</v>
      </c>
      <c r="I275">
        <v>70857</v>
      </c>
      <c r="J275">
        <v>60645</v>
      </c>
    </row>
    <row r="276" spans="1:10" x14ac:dyDescent="0.35">
      <c r="A276">
        <v>375</v>
      </c>
      <c r="B276" t="s">
        <v>101</v>
      </c>
      <c r="C276" t="s">
        <v>11</v>
      </c>
      <c r="D276" t="s">
        <v>20</v>
      </c>
      <c r="E276" t="s">
        <v>102</v>
      </c>
      <c r="F276" t="s">
        <v>716</v>
      </c>
      <c r="G276">
        <v>26308</v>
      </c>
      <c r="H276">
        <v>54288</v>
      </c>
      <c r="I276">
        <v>63181</v>
      </c>
      <c r="J276">
        <v>24369</v>
      </c>
    </row>
    <row r="277" spans="1:10" x14ac:dyDescent="0.35">
      <c r="A277">
        <v>376</v>
      </c>
      <c r="B277" t="s">
        <v>591</v>
      </c>
      <c r="C277" t="s">
        <v>27</v>
      </c>
      <c r="D277" t="s">
        <v>28</v>
      </c>
      <c r="E277" t="s">
        <v>717</v>
      </c>
      <c r="F277" t="s">
        <v>718</v>
      </c>
      <c r="G277">
        <v>34465</v>
      </c>
      <c r="H277">
        <v>59711</v>
      </c>
      <c r="I277">
        <v>67044</v>
      </c>
      <c r="J277">
        <v>24644</v>
      </c>
    </row>
    <row r="278" spans="1:10" x14ac:dyDescent="0.35">
      <c r="A278">
        <v>377</v>
      </c>
      <c r="B278" t="s">
        <v>324</v>
      </c>
      <c r="C278" t="s">
        <v>27</v>
      </c>
      <c r="D278" t="s">
        <v>28</v>
      </c>
      <c r="E278" t="s">
        <v>719</v>
      </c>
      <c r="F278" t="s">
        <v>720</v>
      </c>
      <c r="G278">
        <v>74686</v>
      </c>
      <c r="H278">
        <v>39916</v>
      </c>
      <c r="I278">
        <v>25107</v>
      </c>
      <c r="J278">
        <v>34149</v>
      </c>
    </row>
    <row r="279" spans="1:10" x14ac:dyDescent="0.35">
      <c r="A279">
        <v>378</v>
      </c>
      <c r="B279" t="s">
        <v>193</v>
      </c>
      <c r="C279" t="s">
        <v>11</v>
      </c>
      <c r="D279" t="s">
        <v>43</v>
      </c>
      <c r="E279" t="s">
        <v>528</v>
      </c>
      <c r="F279" t="s">
        <v>721</v>
      </c>
      <c r="G279">
        <v>43459</v>
      </c>
      <c r="H279">
        <v>64203</v>
      </c>
      <c r="I279">
        <v>50062</v>
      </c>
      <c r="J279">
        <v>66042</v>
      </c>
    </row>
    <row r="280" spans="1:10" x14ac:dyDescent="0.35">
      <c r="A280">
        <v>379</v>
      </c>
      <c r="B280" t="s">
        <v>416</v>
      </c>
      <c r="C280" t="s">
        <v>27</v>
      </c>
      <c r="D280" t="s">
        <v>43</v>
      </c>
      <c r="E280" t="s">
        <v>722</v>
      </c>
      <c r="F280" t="s">
        <v>723</v>
      </c>
      <c r="G280">
        <v>47023</v>
      </c>
      <c r="H280">
        <v>70081</v>
      </c>
      <c r="I280">
        <v>61500</v>
      </c>
      <c r="J280">
        <v>48219</v>
      </c>
    </row>
    <row r="281" spans="1:10" x14ac:dyDescent="0.35">
      <c r="A281">
        <v>380</v>
      </c>
      <c r="B281" t="s">
        <v>92</v>
      </c>
      <c r="C281" t="s">
        <v>16</v>
      </c>
      <c r="D281" t="s">
        <v>12</v>
      </c>
      <c r="E281" t="s">
        <v>724</v>
      </c>
      <c r="F281" t="s">
        <v>725</v>
      </c>
      <c r="G281">
        <v>34541</v>
      </c>
      <c r="H281">
        <v>34078</v>
      </c>
      <c r="I281">
        <v>76080</v>
      </c>
      <c r="J281">
        <v>40637</v>
      </c>
    </row>
    <row r="282" spans="1:10" x14ac:dyDescent="0.35">
      <c r="A282">
        <v>381</v>
      </c>
      <c r="B282" t="s">
        <v>726</v>
      </c>
      <c r="C282" t="s">
        <v>55</v>
      </c>
      <c r="D282" t="s">
        <v>28</v>
      </c>
      <c r="E282" t="s">
        <v>727</v>
      </c>
      <c r="F282" t="s">
        <v>728</v>
      </c>
      <c r="G282">
        <v>57387</v>
      </c>
      <c r="H282">
        <v>46201</v>
      </c>
      <c r="I282">
        <v>57294</v>
      </c>
      <c r="J282">
        <v>34249</v>
      </c>
    </row>
    <row r="283" spans="1:10" x14ac:dyDescent="0.35">
      <c r="A283">
        <v>382</v>
      </c>
      <c r="B283" t="s">
        <v>321</v>
      </c>
      <c r="C283" t="s">
        <v>39</v>
      </c>
      <c r="D283" t="s">
        <v>20</v>
      </c>
      <c r="E283" t="s">
        <v>729</v>
      </c>
      <c r="F283" t="s">
        <v>730</v>
      </c>
      <c r="G283">
        <v>47297</v>
      </c>
      <c r="H283">
        <v>76874</v>
      </c>
      <c r="I283">
        <v>27899</v>
      </c>
      <c r="J283">
        <v>77002</v>
      </c>
    </row>
    <row r="284" spans="1:10" x14ac:dyDescent="0.35">
      <c r="A284">
        <v>383</v>
      </c>
      <c r="B284" t="s">
        <v>104</v>
      </c>
      <c r="C284" t="s">
        <v>55</v>
      </c>
      <c r="D284" t="s">
        <v>12</v>
      </c>
      <c r="E284" t="s">
        <v>731</v>
      </c>
      <c r="F284" t="s">
        <v>732</v>
      </c>
      <c r="G284">
        <v>49203</v>
      </c>
      <c r="H284">
        <v>69338</v>
      </c>
      <c r="I284">
        <v>59002</v>
      </c>
      <c r="J284">
        <v>57699</v>
      </c>
    </row>
    <row r="285" spans="1:10" x14ac:dyDescent="0.35">
      <c r="A285">
        <v>384</v>
      </c>
      <c r="B285" t="s">
        <v>452</v>
      </c>
      <c r="C285" t="s">
        <v>16</v>
      </c>
      <c r="D285" t="s">
        <v>12</v>
      </c>
      <c r="E285" t="s">
        <v>733</v>
      </c>
      <c r="F285" t="s">
        <v>734</v>
      </c>
      <c r="G285">
        <v>52887</v>
      </c>
      <c r="H285">
        <v>48474</v>
      </c>
      <c r="I285">
        <v>70713</v>
      </c>
      <c r="J285">
        <v>65735</v>
      </c>
    </row>
    <row r="286" spans="1:10" x14ac:dyDescent="0.35">
      <c r="A286">
        <v>385</v>
      </c>
      <c r="B286" t="s">
        <v>735</v>
      </c>
      <c r="C286" t="s">
        <v>32</v>
      </c>
      <c r="D286" t="s">
        <v>43</v>
      </c>
      <c r="E286" t="s">
        <v>736</v>
      </c>
      <c r="F286" t="s">
        <v>737</v>
      </c>
      <c r="G286">
        <v>64874</v>
      </c>
      <c r="H286">
        <v>57749</v>
      </c>
      <c r="I286">
        <v>25871</v>
      </c>
      <c r="J286">
        <v>27374</v>
      </c>
    </row>
    <row r="287" spans="1:10" x14ac:dyDescent="0.35">
      <c r="A287">
        <v>386</v>
      </c>
      <c r="B287" t="s">
        <v>350</v>
      </c>
      <c r="C287" t="s">
        <v>111</v>
      </c>
      <c r="D287" t="s">
        <v>43</v>
      </c>
      <c r="E287" t="s">
        <v>738</v>
      </c>
      <c r="F287" t="s">
        <v>739</v>
      </c>
      <c r="G287">
        <v>33086</v>
      </c>
      <c r="H287">
        <v>64915</v>
      </c>
      <c r="I287">
        <v>44498</v>
      </c>
      <c r="J287">
        <v>30223</v>
      </c>
    </row>
    <row r="288" spans="1:10" x14ac:dyDescent="0.35">
      <c r="A288">
        <v>387</v>
      </c>
      <c r="B288" t="s">
        <v>487</v>
      </c>
      <c r="C288" t="s">
        <v>39</v>
      </c>
      <c r="D288" t="s">
        <v>43</v>
      </c>
      <c r="E288" t="s">
        <v>740</v>
      </c>
      <c r="F288" t="s">
        <v>741</v>
      </c>
      <c r="G288">
        <v>33885</v>
      </c>
      <c r="H288">
        <v>33356</v>
      </c>
      <c r="I288">
        <v>55810</v>
      </c>
      <c r="J288">
        <v>54292</v>
      </c>
    </row>
    <row r="289" spans="1:10" x14ac:dyDescent="0.35">
      <c r="A289">
        <v>388</v>
      </c>
      <c r="B289" t="s">
        <v>336</v>
      </c>
      <c r="C289" t="s">
        <v>11</v>
      </c>
      <c r="D289" t="s">
        <v>28</v>
      </c>
      <c r="E289" t="s">
        <v>742</v>
      </c>
      <c r="F289" t="s">
        <v>743</v>
      </c>
      <c r="G289">
        <v>24364</v>
      </c>
      <c r="H289">
        <v>45470</v>
      </c>
      <c r="I289">
        <v>63278</v>
      </c>
      <c r="J289">
        <v>37780</v>
      </c>
    </row>
    <row r="290" spans="1:10" x14ac:dyDescent="0.35">
      <c r="A290">
        <v>389</v>
      </c>
      <c r="B290" t="s">
        <v>10</v>
      </c>
      <c r="C290" t="s">
        <v>111</v>
      </c>
      <c r="D290" t="s">
        <v>20</v>
      </c>
      <c r="E290" t="s">
        <v>13</v>
      </c>
      <c r="F290" t="s">
        <v>744</v>
      </c>
      <c r="G290">
        <v>66692</v>
      </c>
      <c r="H290">
        <v>21408</v>
      </c>
      <c r="I290">
        <v>22605</v>
      </c>
      <c r="J290">
        <v>36213</v>
      </c>
    </row>
    <row r="291" spans="1:10" x14ac:dyDescent="0.35">
      <c r="A291">
        <v>390</v>
      </c>
      <c r="B291" t="s">
        <v>277</v>
      </c>
      <c r="C291" t="s">
        <v>16</v>
      </c>
      <c r="D291" t="s">
        <v>20</v>
      </c>
      <c r="E291" t="s">
        <v>745</v>
      </c>
      <c r="F291" t="s">
        <v>746</v>
      </c>
      <c r="G291">
        <v>77584</v>
      </c>
      <c r="H291">
        <v>45373</v>
      </c>
      <c r="I291">
        <v>78353</v>
      </c>
      <c r="J291">
        <v>73402</v>
      </c>
    </row>
    <row r="292" spans="1:10" x14ac:dyDescent="0.35">
      <c r="A292">
        <v>391</v>
      </c>
      <c r="B292" t="s">
        <v>747</v>
      </c>
      <c r="C292" t="s">
        <v>39</v>
      </c>
      <c r="D292" t="s">
        <v>12</v>
      </c>
      <c r="E292" t="s">
        <v>748</v>
      </c>
      <c r="F292" t="s">
        <v>749</v>
      </c>
      <c r="G292">
        <v>40472</v>
      </c>
      <c r="H292">
        <v>79620</v>
      </c>
      <c r="I292">
        <v>59673</v>
      </c>
      <c r="J292">
        <v>41580</v>
      </c>
    </row>
    <row r="293" spans="1:10" x14ac:dyDescent="0.35">
      <c r="A293">
        <v>392</v>
      </c>
      <c r="B293" t="s">
        <v>550</v>
      </c>
      <c r="C293" t="s">
        <v>11</v>
      </c>
      <c r="D293" t="s">
        <v>43</v>
      </c>
      <c r="E293" t="s">
        <v>551</v>
      </c>
      <c r="F293" t="s">
        <v>750</v>
      </c>
      <c r="G293">
        <v>24444</v>
      </c>
      <c r="H293">
        <v>56525</v>
      </c>
      <c r="I293">
        <v>54928</v>
      </c>
      <c r="J293">
        <v>67149</v>
      </c>
    </row>
    <row r="294" spans="1:10" x14ac:dyDescent="0.35">
      <c r="A294">
        <v>393</v>
      </c>
      <c r="B294" t="s">
        <v>751</v>
      </c>
      <c r="C294" t="s">
        <v>27</v>
      </c>
      <c r="D294" t="s">
        <v>43</v>
      </c>
      <c r="E294" t="s">
        <v>752</v>
      </c>
      <c r="F294" t="s">
        <v>753</v>
      </c>
      <c r="G294">
        <v>21716</v>
      </c>
      <c r="H294">
        <v>69967</v>
      </c>
      <c r="I294">
        <v>60106</v>
      </c>
      <c r="J294">
        <v>60432</v>
      </c>
    </row>
    <row r="295" spans="1:10" x14ac:dyDescent="0.35">
      <c r="A295">
        <v>394</v>
      </c>
      <c r="B295" t="s">
        <v>251</v>
      </c>
      <c r="C295" t="s">
        <v>39</v>
      </c>
      <c r="D295" t="s">
        <v>28</v>
      </c>
      <c r="E295" t="s">
        <v>754</v>
      </c>
      <c r="F295" t="s">
        <v>755</v>
      </c>
      <c r="G295">
        <v>30733</v>
      </c>
      <c r="H295">
        <v>32665</v>
      </c>
      <c r="I295">
        <v>34829</v>
      </c>
      <c r="J295">
        <v>22112</v>
      </c>
    </row>
    <row r="296" spans="1:10" x14ac:dyDescent="0.35">
      <c r="A296">
        <v>395</v>
      </c>
      <c r="B296" t="s">
        <v>218</v>
      </c>
      <c r="C296" t="s">
        <v>16</v>
      </c>
      <c r="D296" t="s">
        <v>43</v>
      </c>
      <c r="E296" t="s">
        <v>756</v>
      </c>
      <c r="F296" t="s">
        <v>757</v>
      </c>
      <c r="G296">
        <v>78168</v>
      </c>
      <c r="H296">
        <v>36173</v>
      </c>
      <c r="I296">
        <v>48020</v>
      </c>
      <c r="J296">
        <v>46533</v>
      </c>
    </row>
    <row r="297" spans="1:10" x14ac:dyDescent="0.35">
      <c r="A297">
        <v>396</v>
      </c>
      <c r="B297" t="s">
        <v>386</v>
      </c>
      <c r="C297" t="s">
        <v>16</v>
      </c>
      <c r="D297" t="s">
        <v>28</v>
      </c>
      <c r="E297" t="s">
        <v>758</v>
      </c>
      <c r="F297" t="s">
        <v>759</v>
      </c>
      <c r="G297">
        <v>45388</v>
      </c>
      <c r="H297">
        <v>53824</v>
      </c>
      <c r="I297">
        <v>70145</v>
      </c>
      <c r="J297">
        <v>61330</v>
      </c>
    </row>
    <row r="298" spans="1:10" x14ac:dyDescent="0.35">
      <c r="A298">
        <v>397</v>
      </c>
      <c r="B298" t="s">
        <v>760</v>
      </c>
      <c r="C298" t="s">
        <v>16</v>
      </c>
      <c r="D298" t="s">
        <v>20</v>
      </c>
      <c r="E298" t="s">
        <v>761</v>
      </c>
      <c r="F298" t="s">
        <v>762</v>
      </c>
      <c r="G298">
        <v>74387</v>
      </c>
      <c r="H298">
        <v>62342</v>
      </c>
      <c r="I298">
        <v>49602</v>
      </c>
      <c r="J298">
        <v>25927</v>
      </c>
    </row>
    <row r="299" spans="1:10" x14ac:dyDescent="0.35">
      <c r="A299">
        <v>398</v>
      </c>
      <c r="B299" t="s">
        <v>416</v>
      </c>
      <c r="C299" t="s">
        <v>27</v>
      </c>
      <c r="D299" t="s">
        <v>43</v>
      </c>
      <c r="E299" t="s">
        <v>763</v>
      </c>
      <c r="F299" t="s">
        <v>764</v>
      </c>
      <c r="G299">
        <v>67079</v>
      </c>
      <c r="H299">
        <v>68055</v>
      </c>
      <c r="I299">
        <v>28096</v>
      </c>
      <c r="J299">
        <v>25976</v>
      </c>
    </row>
    <row r="300" spans="1:10" x14ac:dyDescent="0.35">
      <c r="A300">
        <v>399</v>
      </c>
      <c r="B300" t="s">
        <v>229</v>
      </c>
      <c r="C300" t="s">
        <v>55</v>
      </c>
      <c r="D300" t="s">
        <v>20</v>
      </c>
      <c r="E300" t="s">
        <v>765</v>
      </c>
      <c r="F300" t="s">
        <v>766</v>
      </c>
      <c r="G300">
        <v>77101</v>
      </c>
      <c r="H300">
        <v>63222</v>
      </c>
      <c r="I300">
        <v>76536</v>
      </c>
      <c r="J300">
        <v>29836</v>
      </c>
    </row>
    <row r="301" spans="1:10" x14ac:dyDescent="0.35">
      <c r="A301">
        <v>400</v>
      </c>
      <c r="B301" t="s">
        <v>591</v>
      </c>
      <c r="C301" t="s">
        <v>27</v>
      </c>
      <c r="D301" t="s">
        <v>28</v>
      </c>
      <c r="E301" t="s">
        <v>767</v>
      </c>
      <c r="F301" t="s">
        <v>768</v>
      </c>
      <c r="G301">
        <v>60800</v>
      </c>
      <c r="H301">
        <v>70160</v>
      </c>
      <c r="I301">
        <v>36587</v>
      </c>
      <c r="J301">
        <v>20800</v>
      </c>
    </row>
    <row r="302" spans="1:10" x14ac:dyDescent="0.35">
      <c r="A302">
        <v>401</v>
      </c>
      <c r="B302" t="s">
        <v>376</v>
      </c>
      <c r="C302" t="s">
        <v>32</v>
      </c>
      <c r="D302" t="s">
        <v>28</v>
      </c>
      <c r="E302" t="s">
        <v>377</v>
      </c>
      <c r="F302" t="s">
        <v>769</v>
      </c>
      <c r="G302">
        <v>38226</v>
      </c>
      <c r="H302">
        <v>60616</v>
      </c>
      <c r="I302">
        <v>61198</v>
      </c>
      <c r="J302">
        <v>56539</v>
      </c>
    </row>
    <row r="303" spans="1:10" x14ac:dyDescent="0.35">
      <c r="A303">
        <v>402</v>
      </c>
      <c r="B303" t="s">
        <v>146</v>
      </c>
      <c r="C303" t="s">
        <v>39</v>
      </c>
      <c r="D303" t="s">
        <v>28</v>
      </c>
      <c r="E303" t="s">
        <v>770</v>
      </c>
      <c r="F303" t="s">
        <v>771</v>
      </c>
      <c r="G303">
        <v>31681</v>
      </c>
      <c r="H303">
        <v>30573</v>
      </c>
      <c r="I303">
        <v>64046</v>
      </c>
      <c r="J303">
        <v>38637</v>
      </c>
    </row>
    <row r="304" spans="1:10" x14ac:dyDescent="0.35">
      <c r="A304">
        <v>403</v>
      </c>
      <c r="B304" t="s">
        <v>670</v>
      </c>
      <c r="C304" t="s">
        <v>11</v>
      </c>
      <c r="D304" t="s">
        <v>12</v>
      </c>
      <c r="E304" t="s">
        <v>772</v>
      </c>
      <c r="F304" t="s">
        <v>773</v>
      </c>
      <c r="G304">
        <v>28817</v>
      </c>
      <c r="H304">
        <v>27996</v>
      </c>
      <c r="I304">
        <v>65522</v>
      </c>
      <c r="J304">
        <v>76322</v>
      </c>
    </row>
    <row r="305" spans="1:10" x14ac:dyDescent="0.35">
      <c r="A305">
        <v>404</v>
      </c>
      <c r="B305" t="s">
        <v>557</v>
      </c>
      <c r="C305" t="s">
        <v>32</v>
      </c>
      <c r="D305" t="s">
        <v>43</v>
      </c>
      <c r="E305" t="s">
        <v>774</v>
      </c>
      <c r="F305" t="s">
        <v>775</v>
      </c>
      <c r="G305">
        <v>54432</v>
      </c>
      <c r="H305">
        <v>57692</v>
      </c>
      <c r="I305">
        <v>60844</v>
      </c>
      <c r="J305">
        <v>43190</v>
      </c>
    </row>
    <row r="306" spans="1:10" x14ac:dyDescent="0.35">
      <c r="A306">
        <v>405</v>
      </c>
      <c r="B306" t="s">
        <v>376</v>
      </c>
      <c r="C306" t="s">
        <v>16</v>
      </c>
      <c r="D306" t="s">
        <v>43</v>
      </c>
      <c r="E306" t="s">
        <v>377</v>
      </c>
      <c r="F306" t="s">
        <v>776</v>
      </c>
      <c r="G306">
        <v>41875</v>
      </c>
      <c r="H306">
        <v>42914</v>
      </c>
      <c r="I306">
        <v>56727</v>
      </c>
      <c r="J306">
        <v>72824</v>
      </c>
    </row>
    <row r="307" spans="1:10" x14ac:dyDescent="0.35">
      <c r="A307">
        <v>406</v>
      </c>
      <c r="B307" t="s">
        <v>443</v>
      </c>
      <c r="C307" t="s">
        <v>11</v>
      </c>
      <c r="D307" t="s">
        <v>12</v>
      </c>
      <c r="E307" t="s">
        <v>777</v>
      </c>
      <c r="F307" t="s">
        <v>778</v>
      </c>
      <c r="G307">
        <v>67474</v>
      </c>
      <c r="H307">
        <v>57284</v>
      </c>
      <c r="I307">
        <v>60369</v>
      </c>
      <c r="J307">
        <v>21908</v>
      </c>
    </row>
    <row r="308" spans="1:10" x14ac:dyDescent="0.35">
      <c r="A308">
        <v>407</v>
      </c>
      <c r="B308" t="s">
        <v>69</v>
      </c>
      <c r="C308" t="s">
        <v>27</v>
      </c>
      <c r="D308" t="s">
        <v>12</v>
      </c>
      <c r="E308" t="s">
        <v>779</v>
      </c>
      <c r="F308" t="s">
        <v>780</v>
      </c>
      <c r="G308">
        <v>68666</v>
      </c>
      <c r="H308">
        <v>23671</v>
      </c>
      <c r="I308">
        <v>74729</v>
      </c>
      <c r="J308">
        <v>54149</v>
      </c>
    </row>
    <row r="309" spans="1:10" x14ac:dyDescent="0.35">
      <c r="A309">
        <v>408</v>
      </c>
      <c r="B309" t="s">
        <v>389</v>
      </c>
      <c r="C309" t="s">
        <v>39</v>
      </c>
      <c r="D309" t="s">
        <v>12</v>
      </c>
      <c r="E309" t="s">
        <v>781</v>
      </c>
      <c r="F309" t="s">
        <v>782</v>
      </c>
      <c r="G309">
        <v>59694</v>
      </c>
      <c r="H309">
        <v>45530</v>
      </c>
      <c r="I309">
        <v>32280</v>
      </c>
      <c r="J309">
        <v>59006</v>
      </c>
    </row>
    <row r="310" spans="1:10" x14ac:dyDescent="0.35">
      <c r="A310">
        <v>409</v>
      </c>
      <c r="B310" t="s">
        <v>277</v>
      </c>
      <c r="C310" t="s">
        <v>11</v>
      </c>
      <c r="D310" t="s">
        <v>28</v>
      </c>
      <c r="E310" t="s">
        <v>278</v>
      </c>
      <c r="F310" t="s">
        <v>783</v>
      </c>
      <c r="G310">
        <v>44524</v>
      </c>
      <c r="H310">
        <v>71442</v>
      </c>
      <c r="I310">
        <v>22450</v>
      </c>
      <c r="J310">
        <v>70973</v>
      </c>
    </row>
    <row r="311" spans="1:10" x14ac:dyDescent="0.35">
      <c r="A311">
        <v>410</v>
      </c>
      <c r="B311" t="s">
        <v>404</v>
      </c>
      <c r="C311" t="s">
        <v>32</v>
      </c>
      <c r="D311" t="s">
        <v>28</v>
      </c>
      <c r="E311" t="s">
        <v>784</v>
      </c>
      <c r="F311" t="s">
        <v>785</v>
      </c>
      <c r="G311">
        <v>64349</v>
      </c>
      <c r="H311">
        <v>28697</v>
      </c>
      <c r="I311">
        <v>33447</v>
      </c>
      <c r="J311">
        <v>67485</v>
      </c>
    </row>
    <row r="312" spans="1:10" x14ac:dyDescent="0.35">
      <c r="A312">
        <v>411</v>
      </c>
      <c r="B312" t="s">
        <v>786</v>
      </c>
      <c r="C312" t="s">
        <v>11</v>
      </c>
      <c r="D312" t="s">
        <v>28</v>
      </c>
      <c r="E312" t="s">
        <v>787</v>
      </c>
      <c r="F312" t="s">
        <v>788</v>
      </c>
      <c r="G312">
        <v>69708</v>
      </c>
      <c r="H312">
        <v>40456</v>
      </c>
      <c r="I312">
        <v>61867</v>
      </c>
      <c r="J312">
        <v>78466</v>
      </c>
    </row>
    <row r="313" spans="1:10" x14ac:dyDescent="0.35">
      <c r="A313">
        <v>412</v>
      </c>
      <c r="B313" t="s">
        <v>789</v>
      </c>
      <c r="C313" t="s">
        <v>39</v>
      </c>
      <c r="D313" t="s">
        <v>12</v>
      </c>
      <c r="E313" t="s">
        <v>790</v>
      </c>
      <c r="F313" t="s">
        <v>791</v>
      </c>
      <c r="G313">
        <v>56675</v>
      </c>
      <c r="H313">
        <v>53689</v>
      </c>
      <c r="I313">
        <v>26709</v>
      </c>
      <c r="J313">
        <v>33538</v>
      </c>
    </row>
    <row r="314" spans="1:10" x14ac:dyDescent="0.35">
      <c r="A314">
        <v>413</v>
      </c>
      <c r="B314" t="s">
        <v>792</v>
      </c>
      <c r="C314" t="s">
        <v>111</v>
      </c>
      <c r="D314" t="s">
        <v>43</v>
      </c>
      <c r="E314" t="s">
        <v>793</v>
      </c>
      <c r="F314" t="s">
        <v>794</v>
      </c>
      <c r="G314">
        <v>28524</v>
      </c>
      <c r="H314">
        <v>21900</v>
      </c>
      <c r="I314">
        <v>50850</v>
      </c>
      <c r="J314">
        <v>79198</v>
      </c>
    </row>
    <row r="315" spans="1:10" x14ac:dyDescent="0.35">
      <c r="A315">
        <v>414</v>
      </c>
      <c r="B315" t="s">
        <v>795</v>
      </c>
      <c r="C315" t="s">
        <v>55</v>
      </c>
      <c r="D315" t="s">
        <v>28</v>
      </c>
      <c r="E315" t="s">
        <v>796</v>
      </c>
      <c r="F315" t="s">
        <v>797</v>
      </c>
      <c r="G315">
        <v>25147</v>
      </c>
      <c r="H315">
        <v>69528</v>
      </c>
      <c r="I315">
        <v>70097</v>
      </c>
      <c r="J315">
        <v>50519</v>
      </c>
    </row>
    <row r="316" spans="1:10" x14ac:dyDescent="0.35">
      <c r="A316">
        <v>415</v>
      </c>
      <c r="B316" t="s">
        <v>162</v>
      </c>
      <c r="C316" t="s">
        <v>27</v>
      </c>
      <c r="D316" t="s">
        <v>20</v>
      </c>
      <c r="E316" t="s">
        <v>798</v>
      </c>
      <c r="F316" t="s">
        <v>799</v>
      </c>
      <c r="G316">
        <v>45695</v>
      </c>
      <c r="H316">
        <v>32016</v>
      </c>
      <c r="I316">
        <v>65849</v>
      </c>
      <c r="J316">
        <v>63593</v>
      </c>
    </row>
    <row r="317" spans="1:10" x14ac:dyDescent="0.35">
      <c r="A317">
        <v>416</v>
      </c>
      <c r="B317" t="s">
        <v>89</v>
      </c>
      <c r="C317" t="s">
        <v>16</v>
      </c>
      <c r="D317" t="s">
        <v>28</v>
      </c>
      <c r="E317" t="s">
        <v>800</v>
      </c>
      <c r="F317" t="s">
        <v>801</v>
      </c>
      <c r="G317">
        <v>41356</v>
      </c>
      <c r="H317">
        <v>56447</v>
      </c>
      <c r="I317">
        <v>62562</v>
      </c>
      <c r="J317">
        <v>24648</v>
      </c>
    </row>
    <row r="318" spans="1:10" x14ac:dyDescent="0.35">
      <c r="A318">
        <v>417</v>
      </c>
      <c r="B318" t="s">
        <v>786</v>
      </c>
      <c r="C318" t="s">
        <v>32</v>
      </c>
      <c r="D318" t="s">
        <v>20</v>
      </c>
      <c r="E318" t="s">
        <v>802</v>
      </c>
      <c r="F318" t="s">
        <v>803</v>
      </c>
      <c r="G318">
        <v>57172</v>
      </c>
      <c r="H318">
        <v>71598</v>
      </c>
      <c r="I318">
        <v>42426</v>
      </c>
      <c r="J318">
        <v>55686</v>
      </c>
    </row>
    <row r="319" spans="1:10" x14ac:dyDescent="0.35">
      <c r="A319">
        <v>418</v>
      </c>
      <c r="B319" t="s">
        <v>804</v>
      </c>
      <c r="C319" t="s">
        <v>11</v>
      </c>
      <c r="D319" t="s">
        <v>20</v>
      </c>
      <c r="E319" t="s">
        <v>805</v>
      </c>
      <c r="F319" t="s">
        <v>806</v>
      </c>
      <c r="G319">
        <v>59207</v>
      </c>
      <c r="H319">
        <v>27126</v>
      </c>
      <c r="I319">
        <v>64925</v>
      </c>
      <c r="J319">
        <v>73350</v>
      </c>
    </row>
    <row r="320" spans="1:10" x14ac:dyDescent="0.35">
      <c r="A320">
        <v>419</v>
      </c>
      <c r="B320" t="s">
        <v>386</v>
      </c>
      <c r="C320" t="s">
        <v>16</v>
      </c>
      <c r="D320" t="s">
        <v>28</v>
      </c>
      <c r="E320" t="s">
        <v>807</v>
      </c>
      <c r="F320" t="s">
        <v>808</v>
      </c>
      <c r="G320">
        <v>57875</v>
      </c>
      <c r="H320">
        <v>49305</v>
      </c>
      <c r="I320">
        <v>32823</v>
      </c>
      <c r="J320">
        <v>33478</v>
      </c>
    </row>
    <row r="321" spans="1:10" x14ac:dyDescent="0.35">
      <c r="A321">
        <v>420</v>
      </c>
      <c r="B321" t="s">
        <v>543</v>
      </c>
      <c r="C321" t="s">
        <v>16</v>
      </c>
      <c r="D321" t="s">
        <v>12</v>
      </c>
      <c r="E321" t="s">
        <v>809</v>
      </c>
      <c r="F321" t="s">
        <v>810</v>
      </c>
      <c r="G321">
        <v>23481</v>
      </c>
      <c r="H321">
        <v>20055</v>
      </c>
      <c r="I321">
        <v>66095</v>
      </c>
      <c r="J321">
        <v>56702</v>
      </c>
    </row>
    <row r="322" spans="1:10" x14ac:dyDescent="0.35">
      <c r="A322">
        <v>421</v>
      </c>
      <c r="B322" t="s">
        <v>345</v>
      </c>
      <c r="C322" t="s">
        <v>27</v>
      </c>
      <c r="D322" t="s">
        <v>28</v>
      </c>
      <c r="E322" t="s">
        <v>346</v>
      </c>
      <c r="F322" t="s">
        <v>811</v>
      </c>
      <c r="G322">
        <v>32335</v>
      </c>
      <c r="H322">
        <v>56400</v>
      </c>
      <c r="I322">
        <v>45204</v>
      </c>
      <c r="J322">
        <v>75268</v>
      </c>
    </row>
    <row r="323" spans="1:10" x14ac:dyDescent="0.35">
      <c r="A323">
        <v>422</v>
      </c>
      <c r="B323" t="s">
        <v>812</v>
      </c>
      <c r="C323" t="s">
        <v>111</v>
      </c>
      <c r="D323" t="s">
        <v>43</v>
      </c>
      <c r="E323" t="s">
        <v>813</v>
      </c>
      <c r="F323" t="s">
        <v>814</v>
      </c>
      <c r="G323">
        <v>62090</v>
      </c>
      <c r="H323">
        <v>72818</v>
      </c>
      <c r="I323">
        <v>47253</v>
      </c>
      <c r="J323">
        <v>76370</v>
      </c>
    </row>
    <row r="324" spans="1:10" x14ac:dyDescent="0.35">
      <c r="A324">
        <v>423</v>
      </c>
      <c r="B324" t="s">
        <v>510</v>
      </c>
      <c r="C324" t="s">
        <v>16</v>
      </c>
      <c r="D324" t="s">
        <v>20</v>
      </c>
      <c r="E324" t="s">
        <v>815</v>
      </c>
      <c r="F324" t="s">
        <v>816</v>
      </c>
      <c r="G324">
        <v>66670</v>
      </c>
      <c r="H324">
        <v>52881</v>
      </c>
      <c r="I324">
        <v>37645</v>
      </c>
      <c r="J324">
        <v>46924</v>
      </c>
    </row>
    <row r="325" spans="1:10" x14ac:dyDescent="0.35">
      <c r="A325">
        <v>424</v>
      </c>
      <c r="B325" t="s">
        <v>817</v>
      </c>
      <c r="C325" t="s">
        <v>55</v>
      </c>
      <c r="D325" t="s">
        <v>20</v>
      </c>
      <c r="E325" t="s">
        <v>818</v>
      </c>
      <c r="F325" t="s">
        <v>819</v>
      </c>
      <c r="G325">
        <v>25796</v>
      </c>
      <c r="H325">
        <v>36071</v>
      </c>
      <c r="I325">
        <v>50962</v>
      </c>
      <c r="J325">
        <v>61331</v>
      </c>
    </row>
    <row r="326" spans="1:10" x14ac:dyDescent="0.35">
      <c r="A326">
        <v>425</v>
      </c>
      <c r="B326" t="s">
        <v>143</v>
      </c>
      <c r="C326" t="s">
        <v>111</v>
      </c>
      <c r="D326" t="s">
        <v>28</v>
      </c>
      <c r="E326" t="s">
        <v>820</v>
      </c>
      <c r="F326" t="s">
        <v>821</v>
      </c>
      <c r="G326">
        <v>65550</v>
      </c>
      <c r="H326">
        <v>59166</v>
      </c>
      <c r="I326">
        <v>69114</v>
      </c>
      <c r="J326">
        <v>39927</v>
      </c>
    </row>
    <row r="327" spans="1:10" x14ac:dyDescent="0.35">
      <c r="A327">
        <v>426</v>
      </c>
      <c r="B327" t="s">
        <v>19</v>
      </c>
      <c r="C327" t="s">
        <v>11</v>
      </c>
      <c r="D327" t="s">
        <v>20</v>
      </c>
      <c r="E327" t="s">
        <v>21</v>
      </c>
      <c r="F327" t="s">
        <v>822</v>
      </c>
      <c r="G327">
        <v>36518</v>
      </c>
      <c r="H327">
        <v>28686</v>
      </c>
      <c r="I327">
        <v>60356</v>
      </c>
      <c r="J327">
        <v>38413</v>
      </c>
    </row>
    <row r="328" spans="1:10" x14ac:dyDescent="0.35">
      <c r="A328">
        <v>427</v>
      </c>
      <c r="B328" t="s">
        <v>35</v>
      </c>
      <c r="C328" t="s">
        <v>11</v>
      </c>
      <c r="D328" t="s">
        <v>28</v>
      </c>
      <c r="E328" t="s">
        <v>823</v>
      </c>
      <c r="F328" t="s">
        <v>824</v>
      </c>
      <c r="G328">
        <v>76492</v>
      </c>
      <c r="H328">
        <v>22168</v>
      </c>
      <c r="I328">
        <v>42468</v>
      </c>
      <c r="J328">
        <v>25531</v>
      </c>
    </row>
    <row r="329" spans="1:10" x14ac:dyDescent="0.35">
      <c r="A329">
        <v>428</v>
      </c>
      <c r="B329" t="s">
        <v>735</v>
      </c>
      <c r="C329" t="s">
        <v>27</v>
      </c>
      <c r="D329" t="s">
        <v>20</v>
      </c>
      <c r="E329" t="s">
        <v>736</v>
      </c>
      <c r="F329" t="s">
        <v>825</v>
      </c>
      <c r="G329">
        <v>50409</v>
      </c>
      <c r="H329">
        <v>46132</v>
      </c>
      <c r="I329">
        <v>51210</v>
      </c>
      <c r="J329">
        <v>39750</v>
      </c>
    </row>
    <row r="330" spans="1:10" x14ac:dyDescent="0.35">
      <c r="A330">
        <v>429</v>
      </c>
      <c r="B330" t="s">
        <v>256</v>
      </c>
      <c r="C330" t="s">
        <v>11</v>
      </c>
      <c r="D330" t="s">
        <v>20</v>
      </c>
      <c r="E330" t="s">
        <v>826</v>
      </c>
      <c r="F330" t="s">
        <v>827</v>
      </c>
      <c r="G330">
        <v>54818</v>
      </c>
      <c r="H330">
        <v>61774</v>
      </c>
      <c r="I330">
        <v>43188</v>
      </c>
      <c r="J330">
        <v>75328</v>
      </c>
    </row>
    <row r="331" spans="1:10" x14ac:dyDescent="0.35">
      <c r="A331">
        <v>430</v>
      </c>
      <c r="B331" t="s">
        <v>828</v>
      </c>
      <c r="C331" t="s">
        <v>111</v>
      </c>
      <c r="D331" t="s">
        <v>12</v>
      </c>
      <c r="E331" t="s">
        <v>829</v>
      </c>
      <c r="F331" t="s">
        <v>830</v>
      </c>
      <c r="G331">
        <v>55888</v>
      </c>
      <c r="H331">
        <v>20693</v>
      </c>
      <c r="I331">
        <v>64092</v>
      </c>
      <c r="J331">
        <v>20555</v>
      </c>
    </row>
    <row r="332" spans="1:10" x14ac:dyDescent="0.35">
      <c r="A332">
        <v>431</v>
      </c>
      <c r="B332" t="s">
        <v>831</v>
      </c>
      <c r="C332" t="s">
        <v>55</v>
      </c>
      <c r="D332" t="s">
        <v>28</v>
      </c>
      <c r="E332" t="s">
        <v>832</v>
      </c>
      <c r="F332" t="s">
        <v>833</v>
      </c>
      <c r="G332">
        <v>58937</v>
      </c>
      <c r="H332">
        <v>63031</v>
      </c>
      <c r="I332">
        <v>78587</v>
      </c>
      <c r="J332">
        <v>74752</v>
      </c>
    </row>
    <row r="333" spans="1:10" x14ac:dyDescent="0.35">
      <c r="A333">
        <v>432</v>
      </c>
      <c r="B333" t="s">
        <v>193</v>
      </c>
      <c r="C333" t="s">
        <v>55</v>
      </c>
      <c r="D333" t="s">
        <v>43</v>
      </c>
      <c r="E333" t="s">
        <v>194</v>
      </c>
      <c r="F333" t="s">
        <v>834</v>
      </c>
      <c r="G333">
        <v>70420</v>
      </c>
      <c r="H333">
        <v>47982</v>
      </c>
      <c r="I333">
        <v>65365</v>
      </c>
      <c r="J333">
        <v>79204</v>
      </c>
    </row>
    <row r="334" spans="1:10" x14ac:dyDescent="0.35">
      <c r="A334">
        <v>433</v>
      </c>
      <c r="B334" t="s">
        <v>713</v>
      </c>
      <c r="C334" t="s">
        <v>27</v>
      </c>
      <c r="D334" t="s">
        <v>28</v>
      </c>
      <c r="E334" t="s">
        <v>835</v>
      </c>
      <c r="F334" t="s">
        <v>836</v>
      </c>
      <c r="G334">
        <v>52225</v>
      </c>
      <c r="H334">
        <v>33151</v>
      </c>
      <c r="I334">
        <v>59996</v>
      </c>
      <c r="J334">
        <v>45731</v>
      </c>
    </row>
    <row r="335" spans="1:10" x14ac:dyDescent="0.35">
      <c r="A335">
        <v>434</v>
      </c>
      <c r="B335" t="s">
        <v>120</v>
      </c>
      <c r="C335" t="s">
        <v>39</v>
      </c>
      <c r="D335" t="s">
        <v>20</v>
      </c>
      <c r="E335" t="s">
        <v>837</v>
      </c>
      <c r="F335" t="s">
        <v>838</v>
      </c>
      <c r="G335">
        <v>29755</v>
      </c>
      <c r="H335">
        <v>62786</v>
      </c>
      <c r="I335">
        <v>61965</v>
      </c>
      <c r="J335">
        <v>20056</v>
      </c>
    </row>
    <row r="336" spans="1:10" x14ac:dyDescent="0.35">
      <c r="A336">
        <v>435</v>
      </c>
      <c r="B336" t="s">
        <v>839</v>
      </c>
      <c r="C336" t="s">
        <v>39</v>
      </c>
      <c r="D336" t="s">
        <v>12</v>
      </c>
      <c r="E336" t="s">
        <v>840</v>
      </c>
      <c r="F336" t="s">
        <v>841</v>
      </c>
      <c r="G336">
        <v>45193</v>
      </c>
      <c r="H336">
        <v>65171</v>
      </c>
      <c r="I336">
        <v>73606</v>
      </c>
      <c r="J336">
        <v>71106</v>
      </c>
    </row>
    <row r="337" spans="1:10" x14ac:dyDescent="0.35">
      <c r="A337">
        <v>436</v>
      </c>
      <c r="B337" t="s">
        <v>212</v>
      </c>
      <c r="C337" t="s">
        <v>111</v>
      </c>
      <c r="D337" t="s">
        <v>12</v>
      </c>
      <c r="E337" t="s">
        <v>560</v>
      </c>
      <c r="F337" t="s">
        <v>842</v>
      </c>
      <c r="G337">
        <v>56338</v>
      </c>
      <c r="H337">
        <v>22577</v>
      </c>
      <c r="I337">
        <v>45176</v>
      </c>
      <c r="J337">
        <v>63301</v>
      </c>
    </row>
    <row r="338" spans="1:10" x14ac:dyDescent="0.35">
      <c r="A338">
        <v>437</v>
      </c>
      <c r="B338" t="s">
        <v>362</v>
      </c>
      <c r="C338" t="s">
        <v>55</v>
      </c>
      <c r="D338" t="s">
        <v>12</v>
      </c>
      <c r="E338" t="s">
        <v>843</v>
      </c>
      <c r="F338" t="s">
        <v>844</v>
      </c>
      <c r="G338">
        <v>71952</v>
      </c>
      <c r="H338">
        <v>55425</v>
      </c>
      <c r="I338">
        <v>62166</v>
      </c>
      <c r="J338">
        <v>40167</v>
      </c>
    </row>
    <row r="339" spans="1:10" x14ac:dyDescent="0.35">
      <c r="A339">
        <v>438</v>
      </c>
      <c r="B339" t="s">
        <v>845</v>
      </c>
      <c r="C339" t="s">
        <v>55</v>
      </c>
      <c r="D339" t="s">
        <v>12</v>
      </c>
      <c r="E339" t="s">
        <v>846</v>
      </c>
      <c r="F339" t="s">
        <v>847</v>
      </c>
      <c r="G339">
        <v>22416</v>
      </c>
      <c r="H339">
        <v>68199</v>
      </c>
      <c r="I339">
        <v>29279</v>
      </c>
      <c r="J339">
        <v>52040</v>
      </c>
    </row>
    <row r="340" spans="1:10" x14ac:dyDescent="0.35">
      <c r="A340">
        <v>439</v>
      </c>
      <c r="B340" t="s">
        <v>168</v>
      </c>
      <c r="C340" t="s">
        <v>39</v>
      </c>
      <c r="D340" t="s">
        <v>43</v>
      </c>
      <c r="E340" t="s">
        <v>169</v>
      </c>
      <c r="F340" t="s">
        <v>848</v>
      </c>
      <c r="G340">
        <v>58992</v>
      </c>
      <c r="H340">
        <v>72374</v>
      </c>
      <c r="I340">
        <v>60345</v>
      </c>
      <c r="J340">
        <v>34455</v>
      </c>
    </row>
    <row r="341" spans="1:10" x14ac:dyDescent="0.35">
      <c r="A341">
        <v>440</v>
      </c>
      <c r="B341" t="s">
        <v>209</v>
      </c>
      <c r="C341" t="s">
        <v>111</v>
      </c>
      <c r="D341" t="s">
        <v>20</v>
      </c>
      <c r="E341" t="s">
        <v>849</v>
      </c>
      <c r="F341" t="s">
        <v>850</v>
      </c>
      <c r="G341">
        <v>37949</v>
      </c>
      <c r="H341">
        <v>29256</v>
      </c>
      <c r="I341">
        <v>69646</v>
      </c>
      <c r="J341">
        <v>47207</v>
      </c>
    </row>
    <row r="342" spans="1:10" x14ac:dyDescent="0.35">
      <c r="A342">
        <v>441</v>
      </c>
      <c r="B342" t="s">
        <v>521</v>
      </c>
      <c r="C342" t="s">
        <v>16</v>
      </c>
      <c r="D342" t="s">
        <v>43</v>
      </c>
      <c r="E342" t="s">
        <v>851</v>
      </c>
      <c r="F342" t="s">
        <v>852</v>
      </c>
      <c r="G342">
        <v>31758</v>
      </c>
      <c r="H342">
        <v>25841</v>
      </c>
      <c r="I342">
        <v>66316</v>
      </c>
      <c r="J342">
        <v>62713</v>
      </c>
    </row>
    <row r="343" spans="1:10" x14ac:dyDescent="0.35">
      <c r="A343">
        <v>442</v>
      </c>
      <c r="B343" t="s">
        <v>57</v>
      </c>
      <c r="C343" t="s">
        <v>11</v>
      </c>
      <c r="D343" t="s">
        <v>20</v>
      </c>
      <c r="E343" t="s">
        <v>853</v>
      </c>
      <c r="F343" t="s">
        <v>854</v>
      </c>
      <c r="G343">
        <v>65329</v>
      </c>
      <c r="H343">
        <v>22465</v>
      </c>
      <c r="I343">
        <v>59077</v>
      </c>
      <c r="J343">
        <v>31796</v>
      </c>
    </row>
    <row r="344" spans="1:10" x14ac:dyDescent="0.35">
      <c r="A344">
        <v>443</v>
      </c>
      <c r="B344" t="s">
        <v>855</v>
      </c>
      <c r="C344" t="s">
        <v>111</v>
      </c>
      <c r="D344" t="s">
        <v>20</v>
      </c>
      <c r="E344" t="s">
        <v>856</v>
      </c>
      <c r="F344" t="s">
        <v>857</v>
      </c>
      <c r="G344">
        <v>70484</v>
      </c>
      <c r="H344">
        <v>61055</v>
      </c>
      <c r="I344">
        <v>63209</v>
      </c>
      <c r="J344">
        <v>33638</v>
      </c>
    </row>
    <row r="345" spans="1:10" x14ac:dyDescent="0.35">
      <c r="A345">
        <v>444</v>
      </c>
      <c r="B345" t="s">
        <v>594</v>
      </c>
      <c r="C345" t="s">
        <v>55</v>
      </c>
      <c r="D345" t="s">
        <v>43</v>
      </c>
      <c r="E345" t="s">
        <v>858</v>
      </c>
      <c r="F345" t="s">
        <v>859</v>
      </c>
      <c r="G345">
        <v>36474</v>
      </c>
      <c r="H345">
        <v>41908</v>
      </c>
      <c r="I345">
        <v>60423</v>
      </c>
      <c r="J345">
        <v>72766</v>
      </c>
    </row>
    <row r="346" spans="1:10" x14ac:dyDescent="0.35">
      <c r="A346">
        <v>445</v>
      </c>
      <c r="B346" t="s">
        <v>860</v>
      </c>
      <c r="C346" t="s">
        <v>11</v>
      </c>
      <c r="D346" t="s">
        <v>28</v>
      </c>
      <c r="E346" t="s">
        <v>861</v>
      </c>
      <c r="F346" t="s">
        <v>862</v>
      </c>
      <c r="G346">
        <v>57995</v>
      </c>
      <c r="H346">
        <v>41362</v>
      </c>
      <c r="I346">
        <v>47463</v>
      </c>
      <c r="J346">
        <v>33025</v>
      </c>
    </row>
    <row r="347" spans="1:10" x14ac:dyDescent="0.35">
      <c r="A347">
        <v>446</v>
      </c>
      <c r="B347" t="s">
        <v>23</v>
      </c>
      <c r="C347" t="s">
        <v>111</v>
      </c>
      <c r="D347" t="s">
        <v>43</v>
      </c>
      <c r="E347" t="s">
        <v>863</v>
      </c>
      <c r="F347" t="s">
        <v>864</v>
      </c>
      <c r="G347">
        <v>59939</v>
      </c>
      <c r="H347">
        <v>49818</v>
      </c>
      <c r="I347">
        <v>31669</v>
      </c>
      <c r="J347">
        <v>45384</v>
      </c>
    </row>
    <row r="348" spans="1:10" x14ac:dyDescent="0.35">
      <c r="A348">
        <v>447</v>
      </c>
      <c r="B348" t="s">
        <v>865</v>
      </c>
      <c r="C348" t="s">
        <v>11</v>
      </c>
      <c r="D348" t="s">
        <v>43</v>
      </c>
      <c r="E348" t="s">
        <v>866</v>
      </c>
      <c r="F348" t="s">
        <v>867</v>
      </c>
      <c r="G348">
        <v>31219</v>
      </c>
      <c r="H348">
        <v>69829</v>
      </c>
      <c r="I348">
        <v>42516</v>
      </c>
      <c r="J348">
        <v>34408</v>
      </c>
    </row>
    <row r="349" spans="1:10" x14ac:dyDescent="0.35">
      <c r="A349">
        <v>448</v>
      </c>
      <c r="B349" t="s">
        <v>868</v>
      </c>
      <c r="C349" t="s">
        <v>32</v>
      </c>
      <c r="D349" t="s">
        <v>43</v>
      </c>
      <c r="E349" t="s">
        <v>869</v>
      </c>
      <c r="F349" t="s">
        <v>870</v>
      </c>
      <c r="G349">
        <v>68246</v>
      </c>
      <c r="H349">
        <v>77186</v>
      </c>
      <c r="I349">
        <v>36164</v>
      </c>
      <c r="J349">
        <v>36241</v>
      </c>
    </row>
    <row r="350" spans="1:10" x14ac:dyDescent="0.35">
      <c r="A350">
        <v>449</v>
      </c>
      <c r="B350" t="s">
        <v>15</v>
      </c>
      <c r="C350" t="s">
        <v>32</v>
      </c>
      <c r="D350" t="s">
        <v>43</v>
      </c>
      <c r="E350" t="s">
        <v>871</v>
      </c>
      <c r="F350" t="s">
        <v>872</v>
      </c>
      <c r="G350">
        <v>73065</v>
      </c>
      <c r="H350">
        <v>72298</v>
      </c>
      <c r="I350">
        <v>65655</v>
      </c>
      <c r="J350">
        <v>73824</v>
      </c>
    </row>
    <row r="351" spans="1:10" x14ac:dyDescent="0.35">
      <c r="A351">
        <v>450</v>
      </c>
      <c r="B351" t="s">
        <v>436</v>
      </c>
      <c r="C351" t="s">
        <v>39</v>
      </c>
      <c r="D351" t="s">
        <v>28</v>
      </c>
      <c r="E351" t="s">
        <v>873</v>
      </c>
      <c r="F351" t="s">
        <v>874</v>
      </c>
      <c r="G351">
        <v>51443</v>
      </c>
      <c r="H351">
        <v>63845</v>
      </c>
      <c r="I351">
        <v>39977</v>
      </c>
      <c r="J351">
        <v>30603</v>
      </c>
    </row>
    <row r="352" spans="1:10" x14ac:dyDescent="0.35">
      <c r="A352">
        <v>451</v>
      </c>
      <c r="B352" t="s">
        <v>401</v>
      </c>
      <c r="C352" t="s">
        <v>16</v>
      </c>
      <c r="D352" t="s">
        <v>43</v>
      </c>
      <c r="E352" t="s">
        <v>875</v>
      </c>
      <c r="F352" t="s">
        <v>876</v>
      </c>
      <c r="G352">
        <v>54794</v>
      </c>
      <c r="H352">
        <v>22143</v>
      </c>
      <c r="I352">
        <v>39437</v>
      </c>
      <c r="J352">
        <v>47911</v>
      </c>
    </row>
    <row r="353" spans="1:10" x14ac:dyDescent="0.35">
      <c r="A353">
        <v>452</v>
      </c>
      <c r="B353" t="s">
        <v>877</v>
      </c>
      <c r="C353" t="s">
        <v>32</v>
      </c>
      <c r="D353" t="s">
        <v>12</v>
      </c>
      <c r="E353" t="s">
        <v>878</v>
      </c>
      <c r="F353" t="s">
        <v>879</v>
      </c>
      <c r="G353">
        <v>44014</v>
      </c>
      <c r="H353">
        <v>31486</v>
      </c>
      <c r="I353">
        <v>62478</v>
      </c>
      <c r="J353">
        <v>56620</v>
      </c>
    </row>
    <row r="354" spans="1:10" x14ac:dyDescent="0.35">
      <c r="A354">
        <v>453</v>
      </c>
      <c r="B354" t="s">
        <v>215</v>
      </c>
      <c r="C354" t="s">
        <v>111</v>
      </c>
      <c r="D354" t="s">
        <v>43</v>
      </c>
      <c r="E354" t="s">
        <v>880</v>
      </c>
      <c r="F354" t="s">
        <v>881</v>
      </c>
      <c r="G354">
        <v>64579</v>
      </c>
      <c r="H354">
        <v>47717</v>
      </c>
      <c r="I354">
        <v>38162</v>
      </c>
      <c r="J354">
        <v>23569</v>
      </c>
    </row>
    <row r="355" spans="1:10" x14ac:dyDescent="0.35">
      <c r="A355">
        <v>454</v>
      </c>
      <c r="B355" t="s">
        <v>882</v>
      </c>
      <c r="C355" t="s">
        <v>16</v>
      </c>
      <c r="D355" t="s">
        <v>20</v>
      </c>
      <c r="E355" t="s">
        <v>883</v>
      </c>
      <c r="F355" t="s">
        <v>884</v>
      </c>
      <c r="G355">
        <v>32343</v>
      </c>
      <c r="H355">
        <v>78451</v>
      </c>
      <c r="I355">
        <v>77932</v>
      </c>
      <c r="J355">
        <v>50007</v>
      </c>
    </row>
    <row r="356" spans="1:10" x14ac:dyDescent="0.35">
      <c r="A356">
        <v>455</v>
      </c>
      <c r="B356" t="s">
        <v>137</v>
      </c>
      <c r="C356" t="s">
        <v>39</v>
      </c>
      <c r="D356" t="s">
        <v>12</v>
      </c>
      <c r="E356" t="s">
        <v>280</v>
      </c>
      <c r="F356" t="s">
        <v>885</v>
      </c>
      <c r="G356">
        <v>47298</v>
      </c>
      <c r="H356">
        <v>64721</v>
      </c>
      <c r="I356">
        <v>55483</v>
      </c>
      <c r="J356">
        <v>28652</v>
      </c>
    </row>
    <row r="357" spans="1:10" x14ac:dyDescent="0.35">
      <c r="A357">
        <v>456</v>
      </c>
      <c r="B357" t="s">
        <v>274</v>
      </c>
      <c r="C357" t="s">
        <v>16</v>
      </c>
      <c r="D357" t="s">
        <v>28</v>
      </c>
      <c r="E357" t="s">
        <v>886</v>
      </c>
      <c r="F357" t="s">
        <v>887</v>
      </c>
      <c r="G357">
        <v>63637</v>
      </c>
      <c r="H357">
        <v>65669</v>
      </c>
      <c r="I357">
        <v>54744</v>
      </c>
      <c r="J357">
        <v>75175</v>
      </c>
    </row>
    <row r="358" spans="1:10" x14ac:dyDescent="0.35">
      <c r="A358">
        <v>457</v>
      </c>
      <c r="B358" t="s">
        <v>888</v>
      </c>
      <c r="C358" t="s">
        <v>111</v>
      </c>
      <c r="D358" t="s">
        <v>43</v>
      </c>
      <c r="E358" t="s">
        <v>889</v>
      </c>
      <c r="F358" t="s">
        <v>890</v>
      </c>
      <c r="G358">
        <v>60542</v>
      </c>
      <c r="H358">
        <v>30537</v>
      </c>
      <c r="I358">
        <v>66649</v>
      </c>
      <c r="J358">
        <v>55082</v>
      </c>
    </row>
    <row r="359" spans="1:10" x14ac:dyDescent="0.35">
      <c r="A359">
        <v>458</v>
      </c>
      <c r="B359" t="s">
        <v>868</v>
      </c>
      <c r="C359" t="s">
        <v>27</v>
      </c>
      <c r="D359" t="s">
        <v>43</v>
      </c>
      <c r="E359" t="s">
        <v>891</v>
      </c>
      <c r="F359" t="s">
        <v>892</v>
      </c>
      <c r="G359">
        <v>42534</v>
      </c>
      <c r="H359">
        <v>29695</v>
      </c>
      <c r="I359">
        <v>44439</v>
      </c>
      <c r="J359">
        <v>49388</v>
      </c>
    </row>
    <row r="360" spans="1:10" x14ac:dyDescent="0.35">
      <c r="A360">
        <v>459</v>
      </c>
      <c r="B360" t="s">
        <v>419</v>
      </c>
      <c r="C360" t="s">
        <v>55</v>
      </c>
      <c r="D360" t="s">
        <v>28</v>
      </c>
      <c r="E360" t="s">
        <v>893</v>
      </c>
      <c r="F360" t="s">
        <v>894</v>
      </c>
      <c r="G360">
        <v>69424</v>
      </c>
      <c r="H360">
        <v>57599</v>
      </c>
      <c r="I360">
        <v>63705</v>
      </c>
      <c r="J360">
        <v>29639</v>
      </c>
    </row>
    <row r="361" spans="1:10" x14ac:dyDescent="0.35">
      <c r="A361">
        <v>460</v>
      </c>
      <c r="B361" t="s">
        <v>235</v>
      </c>
      <c r="C361" t="s">
        <v>11</v>
      </c>
      <c r="D361" t="s">
        <v>28</v>
      </c>
      <c r="E361" t="s">
        <v>895</v>
      </c>
      <c r="F361" t="s">
        <v>896</v>
      </c>
      <c r="G361">
        <v>41388</v>
      </c>
      <c r="H361">
        <v>23606</v>
      </c>
      <c r="I361">
        <v>59855</v>
      </c>
      <c r="J361">
        <v>62029</v>
      </c>
    </row>
    <row r="362" spans="1:10" x14ac:dyDescent="0.35">
      <c r="A362">
        <v>461</v>
      </c>
      <c r="B362" t="s">
        <v>49</v>
      </c>
      <c r="C362" t="s">
        <v>39</v>
      </c>
      <c r="D362" t="s">
        <v>28</v>
      </c>
      <c r="E362" t="s">
        <v>897</v>
      </c>
      <c r="F362" t="s">
        <v>898</v>
      </c>
      <c r="G362">
        <v>46054</v>
      </c>
      <c r="H362">
        <v>29695</v>
      </c>
      <c r="I362">
        <v>66921</v>
      </c>
      <c r="J362">
        <v>75954</v>
      </c>
    </row>
    <row r="363" spans="1:10" x14ac:dyDescent="0.35">
      <c r="A363">
        <v>462</v>
      </c>
      <c r="B363" t="s">
        <v>631</v>
      </c>
      <c r="C363" t="s">
        <v>111</v>
      </c>
      <c r="D363" t="s">
        <v>28</v>
      </c>
      <c r="E363" t="s">
        <v>899</v>
      </c>
      <c r="F363" t="s">
        <v>900</v>
      </c>
      <c r="G363">
        <v>30734</v>
      </c>
      <c r="H363">
        <v>72800</v>
      </c>
      <c r="I363">
        <v>67710</v>
      </c>
      <c r="J363">
        <v>78833</v>
      </c>
    </row>
    <row r="364" spans="1:10" x14ac:dyDescent="0.35">
      <c r="A364">
        <v>463</v>
      </c>
      <c r="B364" t="s">
        <v>812</v>
      </c>
      <c r="C364" t="s">
        <v>27</v>
      </c>
      <c r="D364" t="s">
        <v>28</v>
      </c>
      <c r="E364" t="s">
        <v>813</v>
      </c>
      <c r="F364" t="s">
        <v>901</v>
      </c>
      <c r="G364">
        <v>61864</v>
      </c>
      <c r="H364">
        <v>79926</v>
      </c>
      <c r="I364">
        <v>37912</v>
      </c>
      <c r="J364">
        <v>47165</v>
      </c>
    </row>
    <row r="365" spans="1:10" x14ac:dyDescent="0.35">
      <c r="A365">
        <v>464</v>
      </c>
      <c r="B365" t="s">
        <v>314</v>
      </c>
      <c r="C365" t="s">
        <v>39</v>
      </c>
      <c r="D365" t="s">
        <v>43</v>
      </c>
      <c r="E365" t="s">
        <v>902</v>
      </c>
      <c r="F365" t="s">
        <v>903</v>
      </c>
      <c r="G365">
        <v>30094</v>
      </c>
      <c r="H365">
        <v>37214</v>
      </c>
      <c r="I365">
        <v>39671</v>
      </c>
      <c r="J365">
        <v>61979</v>
      </c>
    </row>
    <row r="366" spans="1:10" x14ac:dyDescent="0.35">
      <c r="A366">
        <v>465</v>
      </c>
      <c r="B366" t="s">
        <v>345</v>
      </c>
      <c r="C366" t="s">
        <v>16</v>
      </c>
      <c r="D366" t="s">
        <v>43</v>
      </c>
      <c r="E366" t="s">
        <v>904</v>
      </c>
      <c r="F366" t="s">
        <v>905</v>
      </c>
      <c r="G366">
        <v>48578</v>
      </c>
      <c r="H366">
        <v>76907</v>
      </c>
      <c r="I366">
        <v>36902</v>
      </c>
      <c r="J366">
        <v>61156</v>
      </c>
    </row>
    <row r="367" spans="1:10" x14ac:dyDescent="0.35">
      <c r="A367">
        <v>466</v>
      </c>
      <c r="B367" t="s">
        <v>212</v>
      </c>
      <c r="C367" t="s">
        <v>32</v>
      </c>
      <c r="D367" t="s">
        <v>28</v>
      </c>
      <c r="E367" t="s">
        <v>906</v>
      </c>
      <c r="F367" t="s">
        <v>907</v>
      </c>
      <c r="G367">
        <v>47493</v>
      </c>
      <c r="H367">
        <v>61697</v>
      </c>
      <c r="I367">
        <v>79775</v>
      </c>
      <c r="J367">
        <v>43329</v>
      </c>
    </row>
    <row r="368" spans="1:10" x14ac:dyDescent="0.35">
      <c r="A368">
        <v>467</v>
      </c>
      <c r="B368" t="s">
        <v>543</v>
      </c>
      <c r="C368" t="s">
        <v>32</v>
      </c>
      <c r="D368" t="s">
        <v>28</v>
      </c>
      <c r="E368" t="s">
        <v>908</v>
      </c>
      <c r="F368" t="s">
        <v>909</v>
      </c>
      <c r="G368">
        <v>26280</v>
      </c>
      <c r="H368">
        <v>55023</v>
      </c>
      <c r="I368">
        <v>58013</v>
      </c>
      <c r="J368">
        <v>43044</v>
      </c>
    </row>
    <row r="369" spans="1:10" x14ac:dyDescent="0.35">
      <c r="A369">
        <v>468</v>
      </c>
      <c r="B369" t="s">
        <v>693</v>
      </c>
      <c r="C369" t="s">
        <v>32</v>
      </c>
      <c r="D369" t="s">
        <v>12</v>
      </c>
      <c r="E369" t="s">
        <v>910</v>
      </c>
      <c r="F369" t="s">
        <v>911</v>
      </c>
      <c r="G369">
        <v>25006</v>
      </c>
      <c r="H369">
        <v>27639</v>
      </c>
      <c r="I369">
        <v>73663</v>
      </c>
      <c r="J369">
        <v>28600</v>
      </c>
    </row>
    <row r="370" spans="1:10" x14ac:dyDescent="0.35">
      <c r="A370">
        <v>469</v>
      </c>
      <c r="B370" t="s">
        <v>467</v>
      </c>
      <c r="C370" t="s">
        <v>111</v>
      </c>
      <c r="D370" t="s">
        <v>12</v>
      </c>
      <c r="E370" t="s">
        <v>468</v>
      </c>
      <c r="F370" t="s">
        <v>912</v>
      </c>
      <c r="G370">
        <v>65091</v>
      </c>
      <c r="H370">
        <v>34848</v>
      </c>
      <c r="I370">
        <v>40147</v>
      </c>
      <c r="J370">
        <v>28214</v>
      </c>
    </row>
    <row r="371" spans="1:10" x14ac:dyDescent="0.35">
      <c r="A371">
        <v>470</v>
      </c>
      <c r="B371" t="s">
        <v>162</v>
      </c>
      <c r="C371" t="s">
        <v>16</v>
      </c>
      <c r="D371" t="s">
        <v>28</v>
      </c>
      <c r="E371" t="s">
        <v>798</v>
      </c>
      <c r="F371" t="s">
        <v>913</v>
      </c>
      <c r="G371">
        <v>27793</v>
      </c>
      <c r="H371">
        <v>79541</v>
      </c>
      <c r="I371">
        <v>36581</v>
      </c>
      <c r="J371">
        <v>22836</v>
      </c>
    </row>
    <row r="372" spans="1:10" x14ac:dyDescent="0.35">
      <c r="A372">
        <v>471</v>
      </c>
      <c r="B372" t="s">
        <v>914</v>
      </c>
      <c r="C372" t="s">
        <v>27</v>
      </c>
      <c r="D372" t="s">
        <v>28</v>
      </c>
      <c r="E372" t="s">
        <v>915</v>
      </c>
      <c r="F372" t="s">
        <v>916</v>
      </c>
      <c r="G372">
        <v>30522</v>
      </c>
      <c r="H372">
        <v>76042</v>
      </c>
      <c r="I372">
        <v>52809</v>
      </c>
      <c r="J372">
        <v>71170</v>
      </c>
    </row>
    <row r="373" spans="1:10" x14ac:dyDescent="0.35">
      <c r="A373">
        <v>472</v>
      </c>
      <c r="B373" t="s">
        <v>917</v>
      </c>
      <c r="C373" t="s">
        <v>55</v>
      </c>
      <c r="D373" t="s">
        <v>28</v>
      </c>
      <c r="E373" t="s">
        <v>918</v>
      </c>
      <c r="F373" t="s">
        <v>919</v>
      </c>
      <c r="G373">
        <v>32132</v>
      </c>
      <c r="H373">
        <v>48813</v>
      </c>
      <c r="I373">
        <v>64140</v>
      </c>
      <c r="J373">
        <v>27033</v>
      </c>
    </row>
    <row r="374" spans="1:10" x14ac:dyDescent="0.35">
      <c r="A374">
        <v>473</v>
      </c>
      <c r="B374" t="s">
        <v>631</v>
      </c>
      <c r="C374" t="s">
        <v>16</v>
      </c>
      <c r="D374" t="s">
        <v>43</v>
      </c>
      <c r="E374" t="s">
        <v>920</v>
      </c>
      <c r="F374" t="s">
        <v>921</v>
      </c>
      <c r="G374">
        <v>66185</v>
      </c>
      <c r="H374">
        <v>38892</v>
      </c>
      <c r="I374">
        <v>56512</v>
      </c>
      <c r="J374">
        <v>67325</v>
      </c>
    </row>
    <row r="375" spans="1:10" x14ac:dyDescent="0.35">
      <c r="A375">
        <v>474</v>
      </c>
      <c r="B375" t="s">
        <v>922</v>
      </c>
      <c r="C375" t="s">
        <v>16</v>
      </c>
      <c r="D375" t="s">
        <v>28</v>
      </c>
      <c r="E375" t="s">
        <v>923</v>
      </c>
      <c r="F375" t="s">
        <v>924</v>
      </c>
      <c r="G375">
        <v>76149</v>
      </c>
      <c r="H375">
        <v>24561</v>
      </c>
      <c r="I375">
        <v>78638</v>
      </c>
      <c r="J375">
        <v>75119</v>
      </c>
    </row>
    <row r="376" spans="1:10" x14ac:dyDescent="0.35">
      <c r="A376">
        <v>475</v>
      </c>
      <c r="B376" t="s">
        <v>521</v>
      </c>
      <c r="C376" t="s">
        <v>55</v>
      </c>
      <c r="D376" t="s">
        <v>20</v>
      </c>
      <c r="E376" t="s">
        <v>925</v>
      </c>
      <c r="F376" t="s">
        <v>926</v>
      </c>
      <c r="G376">
        <v>24240</v>
      </c>
      <c r="H376">
        <v>43836</v>
      </c>
      <c r="I376">
        <v>33047</v>
      </c>
      <c r="J376">
        <v>42192</v>
      </c>
    </row>
    <row r="377" spans="1:10" x14ac:dyDescent="0.35">
      <c r="A377">
        <v>476</v>
      </c>
      <c r="B377" t="s">
        <v>927</v>
      </c>
      <c r="C377" t="s">
        <v>39</v>
      </c>
      <c r="D377" t="s">
        <v>20</v>
      </c>
      <c r="E377" t="s">
        <v>928</v>
      </c>
      <c r="F377" t="s">
        <v>929</v>
      </c>
      <c r="G377">
        <v>53516</v>
      </c>
      <c r="H377">
        <v>38277</v>
      </c>
      <c r="I377">
        <v>29658</v>
      </c>
      <c r="J377">
        <v>70331</v>
      </c>
    </row>
    <row r="378" spans="1:10" x14ac:dyDescent="0.35">
      <c r="A378">
        <v>477</v>
      </c>
      <c r="B378" t="s">
        <v>193</v>
      </c>
      <c r="C378" t="s">
        <v>111</v>
      </c>
      <c r="D378" t="s">
        <v>20</v>
      </c>
      <c r="E378" t="s">
        <v>194</v>
      </c>
      <c r="F378" t="s">
        <v>930</v>
      </c>
      <c r="G378">
        <v>59622</v>
      </c>
      <c r="H378">
        <v>64512</v>
      </c>
      <c r="I378">
        <v>41427</v>
      </c>
      <c r="J378">
        <v>30009</v>
      </c>
    </row>
    <row r="379" spans="1:10" x14ac:dyDescent="0.35">
      <c r="A379">
        <v>478</v>
      </c>
      <c r="B379" t="s">
        <v>645</v>
      </c>
      <c r="C379" t="s">
        <v>11</v>
      </c>
      <c r="D379" t="s">
        <v>20</v>
      </c>
      <c r="E379" t="s">
        <v>931</v>
      </c>
      <c r="F379" t="s">
        <v>932</v>
      </c>
      <c r="G379">
        <v>77679</v>
      </c>
      <c r="H379">
        <v>79961</v>
      </c>
      <c r="I379">
        <v>27807</v>
      </c>
      <c r="J379">
        <v>45141</v>
      </c>
    </row>
    <row r="380" spans="1:10" x14ac:dyDescent="0.35">
      <c r="A380">
        <v>479</v>
      </c>
      <c r="B380" t="s">
        <v>110</v>
      </c>
      <c r="C380" t="s">
        <v>16</v>
      </c>
      <c r="D380" t="s">
        <v>20</v>
      </c>
      <c r="E380" t="s">
        <v>933</v>
      </c>
      <c r="F380" t="s">
        <v>934</v>
      </c>
      <c r="G380">
        <v>51945</v>
      </c>
      <c r="H380">
        <v>70070</v>
      </c>
      <c r="I380">
        <v>27168</v>
      </c>
      <c r="J380">
        <v>57280</v>
      </c>
    </row>
    <row r="381" spans="1:10" x14ac:dyDescent="0.35">
      <c r="A381">
        <v>480</v>
      </c>
      <c r="B381" t="s">
        <v>376</v>
      </c>
      <c r="C381" t="s">
        <v>32</v>
      </c>
      <c r="D381" t="s">
        <v>43</v>
      </c>
      <c r="E381" t="s">
        <v>377</v>
      </c>
      <c r="F381" t="s">
        <v>935</v>
      </c>
      <c r="G381">
        <v>58696</v>
      </c>
      <c r="H381">
        <v>22956</v>
      </c>
      <c r="I381">
        <v>28401</v>
      </c>
      <c r="J381">
        <v>74849</v>
      </c>
    </row>
    <row r="382" spans="1:10" x14ac:dyDescent="0.35">
      <c r="A382">
        <v>481</v>
      </c>
      <c r="B382" t="s">
        <v>936</v>
      </c>
      <c r="C382" t="s">
        <v>27</v>
      </c>
      <c r="D382" t="s">
        <v>12</v>
      </c>
      <c r="E382" t="s">
        <v>937</v>
      </c>
      <c r="F382" t="s">
        <v>938</v>
      </c>
      <c r="G382">
        <v>58832</v>
      </c>
      <c r="H382">
        <v>25566</v>
      </c>
      <c r="I382">
        <v>79663</v>
      </c>
      <c r="J382">
        <v>65088</v>
      </c>
    </row>
    <row r="383" spans="1:10" x14ac:dyDescent="0.35">
      <c r="A383">
        <v>482</v>
      </c>
      <c r="B383" t="s">
        <v>939</v>
      </c>
      <c r="C383" t="s">
        <v>111</v>
      </c>
      <c r="D383" t="s">
        <v>43</v>
      </c>
      <c r="E383" t="s">
        <v>940</v>
      </c>
      <c r="F383" t="s">
        <v>941</v>
      </c>
      <c r="G383">
        <v>58534</v>
      </c>
      <c r="H383">
        <v>21457</v>
      </c>
      <c r="I383">
        <v>40743</v>
      </c>
      <c r="J383">
        <v>44755</v>
      </c>
    </row>
    <row r="384" spans="1:10" x14ac:dyDescent="0.35">
      <c r="A384">
        <v>483</v>
      </c>
      <c r="B384" t="s">
        <v>386</v>
      </c>
      <c r="C384" t="s">
        <v>32</v>
      </c>
      <c r="D384" t="s">
        <v>28</v>
      </c>
      <c r="E384" t="s">
        <v>942</v>
      </c>
      <c r="F384" t="s">
        <v>943</v>
      </c>
      <c r="G384">
        <v>61644</v>
      </c>
      <c r="H384">
        <v>75530</v>
      </c>
      <c r="I384">
        <v>71586</v>
      </c>
      <c r="J384">
        <v>24936</v>
      </c>
    </row>
    <row r="385" spans="1:10" x14ac:dyDescent="0.35">
      <c r="A385">
        <v>484</v>
      </c>
      <c r="B385" t="s">
        <v>760</v>
      </c>
      <c r="C385" t="s">
        <v>111</v>
      </c>
      <c r="D385" t="s">
        <v>28</v>
      </c>
      <c r="E385" t="s">
        <v>761</v>
      </c>
      <c r="F385" t="s">
        <v>944</v>
      </c>
      <c r="G385">
        <v>72506</v>
      </c>
      <c r="H385">
        <v>54803</v>
      </c>
      <c r="I385">
        <v>51147</v>
      </c>
      <c r="J385">
        <v>47990</v>
      </c>
    </row>
    <row r="386" spans="1:10" x14ac:dyDescent="0.35">
      <c r="A386">
        <v>485</v>
      </c>
      <c r="B386" t="s">
        <v>265</v>
      </c>
      <c r="C386" t="s">
        <v>11</v>
      </c>
      <c r="D386" t="s">
        <v>12</v>
      </c>
      <c r="E386" t="s">
        <v>502</v>
      </c>
      <c r="F386" t="s">
        <v>945</v>
      </c>
      <c r="G386">
        <v>31835</v>
      </c>
      <c r="H386">
        <v>77730</v>
      </c>
      <c r="I386">
        <v>21219</v>
      </c>
      <c r="J386">
        <v>61146</v>
      </c>
    </row>
    <row r="387" spans="1:10" x14ac:dyDescent="0.35">
      <c r="A387">
        <v>486</v>
      </c>
      <c r="B387" t="s">
        <v>422</v>
      </c>
      <c r="C387" t="s">
        <v>39</v>
      </c>
      <c r="D387" t="s">
        <v>20</v>
      </c>
      <c r="E387" t="s">
        <v>946</v>
      </c>
      <c r="F387" t="s">
        <v>947</v>
      </c>
      <c r="G387">
        <v>35753</v>
      </c>
      <c r="H387">
        <v>29861</v>
      </c>
      <c r="I387">
        <v>68918</v>
      </c>
      <c r="J387">
        <v>64912</v>
      </c>
    </row>
    <row r="388" spans="1:10" x14ac:dyDescent="0.35">
      <c r="A388">
        <v>487</v>
      </c>
      <c r="B388" t="s">
        <v>291</v>
      </c>
      <c r="C388" t="s">
        <v>111</v>
      </c>
      <c r="D388" t="s">
        <v>28</v>
      </c>
      <c r="E388" t="s">
        <v>948</v>
      </c>
      <c r="F388" t="s">
        <v>949</v>
      </c>
      <c r="G388">
        <v>29827</v>
      </c>
      <c r="H388">
        <v>32577</v>
      </c>
      <c r="I388">
        <v>21815</v>
      </c>
      <c r="J388">
        <v>36094</v>
      </c>
    </row>
    <row r="389" spans="1:10" x14ac:dyDescent="0.35">
      <c r="A389">
        <v>488</v>
      </c>
      <c r="B389" t="s">
        <v>436</v>
      </c>
      <c r="C389" t="s">
        <v>32</v>
      </c>
      <c r="D389" t="s">
        <v>20</v>
      </c>
      <c r="E389" t="s">
        <v>950</v>
      </c>
      <c r="F389" t="s">
        <v>951</v>
      </c>
      <c r="G389">
        <v>71264</v>
      </c>
      <c r="H389">
        <v>21304</v>
      </c>
      <c r="I389">
        <v>23625</v>
      </c>
      <c r="J389">
        <v>76333</v>
      </c>
    </row>
    <row r="390" spans="1:10" x14ac:dyDescent="0.35">
      <c r="A390">
        <v>489</v>
      </c>
      <c r="B390" t="s">
        <v>342</v>
      </c>
      <c r="C390" t="s">
        <v>27</v>
      </c>
      <c r="D390" t="s">
        <v>28</v>
      </c>
      <c r="E390" t="s">
        <v>952</v>
      </c>
      <c r="F390" t="s">
        <v>953</v>
      </c>
      <c r="G390">
        <v>63530</v>
      </c>
      <c r="H390">
        <v>74328</v>
      </c>
      <c r="I390">
        <v>58038</v>
      </c>
      <c r="J390">
        <v>70797</v>
      </c>
    </row>
    <row r="391" spans="1:10" x14ac:dyDescent="0.35">
      <c r="A391">
        <v>490</v>
      </c>
      <c r="B391" t="s">
        <v>562</v>
      </c>
      <c r="C391" t="s">
        <v>55</v>
      </c>
      <c r="D391" t="s">
        <v>43</v>
      </c>
      <c r="E391" t="s">
        <v>954</v>
      </c>
      <c r="F391" t="s">
        <v>955</v>
      </c>
      <c r="G391">
        <v>34031</v>
      </c>
      <c r="H391">
        <v>37992</v>
      </c>
      <c r="I391">
        <v>48801</v>
      </c>
      <c r="J391">
        <v>46763</v>
      </c>
    </row>
    <row r="392" spans="1:10" x14ac:dyDescent="0.35">
      <c r="A392">
        <v>491</v>
      </c>
      <c r="B392" t="s">
        <v>495</v>
      </c>
      <c r="C392" t="s">
        <v>32</v>
      </c>
      <c r="D392" t="s">
        <v>12</v>
      </c>
      <c r="E392" t="s">
        <v>956</v>
      </c>
      <c r="F392" t="s">
        <v>957</v>
      </c>
      <c r="G392">
        <v>73829</v>
      </c>
      <c r="H392">
        <v>40196</v>
      </c>
      <c r="I392">
        <v>21381</v>
      </c>
      <c r="J392">
        <v>62296</v>
      </c>
    </row>
    <row r="393" spans="1:10" x14ac:dyDescent="0.35">
      <c r="A393">
        <v>492</v>
      </c>
      <c r="B393" t="s">
        <v>134</v>
      </c>
      <c r="C393" t="s">
        <v>11</v>
      </c>
      <c r="D393" t="s">
        <v>43</v>
      </c>
      <c r="E393" t="s">
        <v>958</v>
      </c>
      <c r="F393" t="s">
        <v>959</v>
      </c>
      <c r="G393">
        <v>20515</v>
      </c>
      <c r="H393">
        <v>79623</v>
      </c>
      <c r="I393">
        <v>45754</v>
      </c>
      <c r="J393">
        <v>36746</v>
      </c>
    </row>
    <row r="394" spans="1:10" x14ac:dyDescent="0.35">
      <c r="A394">
        <v>493</v>
      </c>
      <c r="B394" t="s">
        <v>452</v>
      </c>
      <c r="C394" t="s">
        <v>111</v>
      </c>
      <c r="D394" t="s">
        <v>43</v>
      </c>
      <c r="E394" t="s">
        <v>960</v>
      </c>
      <c r="F394" t="s">
        <v>961</v>
      </c>
      <c r="G394">
        <v>68296</v>
      </c>
      <c r="H394">
        <v>47063</v>
      </c>
      <c r="I394">
        <v>75126</v>
      </c>
      <c r="J394">
        <v>41805</v>
      </c>
    </row>
    <row r="395" spans="1:10" x14ac:dyDescent="0.35">
      <c r="A395">
        <v>494</v>
      </c>
      <c r="B395" t="s">
        <v>416</v>
      </c>
      <c r="C395" t="s">
        <v>11</v>
      </c>
      <c r="D395" t="s">
        <v>12</v>
      </c>
      <c r="E395" t="s">
        <v>722</v>
      </c>
      <c r="F395" t="s">
        <v>962</v>
      </c>
      <c r="G395">
        <v>61297</v>
      </c>
      <c r="H395">
        <v>49058</v>
      </c>
      <c r="I395">
        <v>71840</v>
      </c>
      <c r="J395">
        <v>62015</v>
      </c>
    </row>
    <row r="396" spans="1:10" x14ac:dyDescent="0.35">
      <c r="A396">
        <v>495</v>
      </c>
      <c r="B396" t="s">
        <v>104</v>
      </c>
      <c r="C396" t="s">
        <v>39</v>
      </c>
      <c r="D396" t="s">
        <v>12</v>
      </c>
      <c r="E396" t="s">
        <v>105</v>
      </c>
      <c r="F396" t="s">
        <v>963</v>
      </c>
      <c r="G396">
        <v>77246</v>
      </c>
      <c r="H396">
        <v>68180</v>
      </c>
      <c r="I396">
        <v>28749</v>
      </c>
      <c r="J396">
        <v>37083</v>
      </c>
    </row>
    <row r="397" spans="1:10" x14ac:dyDescent="0.35">
      <c r="A397">
        <v>496</v>
      </c>
      <c r="B397" t="s">
        <v>342</v>
      </c>
      <c r="C397" t="s">
        <v>39</v>
      </c>
      <c r="D397" t="s">
        <v>28</v>
      </c>
      <c r="E397" t="s">
        <v>952</v>
      </c>
      <c r="F397" t="s">
        <v>964</v>
      </c>
      <c r="G397">
        <v>50305</v>
      </c>
      <c r="H397">
        <v>32993</v>
      </c>
      <c r="I397">
        <v>37156</v>
      </c>
      <c r="J397">
        <v>65957</v>
      </c>
    </row>
    <row r="398" spans="1:10" x14ac:dyDescent="0.35">
      <c r="A398">
        <v>497</v>
      </c>
      <c r="B398" t="s">
        <v>530</v>
      </c>
      <c r="C398" t="s">
        <v>32</v>
      </c>
      <c r="D398" t="s">
        <v>20</v>
      </c>
      <c r="E398" t="s">
        <v>965</v>
      </c>
      <c r="F398" t="s">
        <v>966</v>
      </c>
      <c r="G398">
        <v>34711</v>
      </c>
      <c r="H398">
        <v>66764</v>
      </c>
      <c r="I398">
        <v>33313</v>
      </c>
      <c r="J398">
        <v>32487</v>
      </c>
    </row>
    <row r="399" spans="1:10" x14ac:dyDescent="0.35">
      <c r="A399">
        <v>498</v>
      </c>
      <c r="B399" t="s">
        <v>285</v>
      </c>
      <c r="C399" t="s">
        <v>16</v>
      </c>
      <c r="D399" t="s">
        <v>43</v>
      </c>
      <c r="E399" t="s">
        <v>967</v>
      </c>
      <c r="F399" t="s">
        <v>968</v>
      </c>
      <c r="G399">
        <v>37157</v>
      </c>
      <c r="H399">
        <v>35432</v>
      </c>
      <c r="I399">
        <v>60480</v>
      </c>
      <c r="J399">
        <v>49555</v>
      </c>
    </row>
    <row r="400" spans="1:10" x14ac:dyDescent="0.35">
      <c r="A400">
        <v>499</v>
      </c>
      <c r="B400" t="s">
        <v>969</v>
      </c>
      <c r="C400" t="s">
        <v>55</v>
      </c>
      <c r="D400" t="s">
        <v>28</v>
      </c>
      <c r="E400" t="s">
        <v>970</v>
      </c>
      <c r="F400" t="s">
        <v>971</v>
      </c>
      <c r="G400">
        <v>56503</v>
      </c>
      <c r="H400">
        <v>23850</v>
      </c>
      <c r="I400">
        <v>23415</v>
      </c>
      <c r="J400">
        <v>41814</v>
      </c>
    </row>
    <row r="401" spans="1:10" x14ac:dyDescent="0.35">
      <c r="A401">
        <v>500</v>
      </c>
      <c r="B401" t="s">
        <v>467</v>
      </c>
      <c r="C401" t="s">
        <v>32</v>
      </c>
      <c r="D401" t="s">
        <v>28</v>
      </c>
      <c r="E401" t="s">
        <v>582</v>
      </c>
      <c r="F401" t="s">
        <v>972</v>
      </c>
      <c r="G401">
        <v>31132</v>
      </c>
      <c r="H401">
        <v>53013</v>
      </c>
      <c r="I401">
        <v>52298</v>
      </c>
      <c r="J401">
        <v>42228</v>
      </c>
    </row>
    <row r="402" spans="1:10" x14ac:dyDescent="0.35">
      <c r="A402">
        <v>501</v>
      </c>
      <c r="B402" t="s">
        <v>162</v>
      </c>
      <c r="C402" t="s">
        <v>111</v>
      </c>
      <c r="D402" t="s">
        <v>20</v>
      </c>
      <c r="E402" t="s">
        <v>973</v>
      </c>
      <c r="F402" t="s">
        <v>974</v>
      </c>
      <c r="G402">
        <v>79165</v>
      </c>
      <c r="H402">
        <v>77470</v>
      </c>
      <c r="I402">
        <v>37250</v>
      </c>
      <c r="J402">
        <v>60169</v>
      </c>
    </row>
    <row r="403" spans="1:10" x14ac:dyDescent="0.35">
      <c r="A403">
        <v>502</v>
      </c>
      <c r="B403" t="s">
        <v>557</v>
      </c>
      <c r="C403" t="s">
        <v>39</v>
      </c>
      <c r="D403" t="s">
        <v>12</v>
      </c>
      <c r="E403" t="s">
        <v>774</v>
      </c>
      <c r="F403" t="s">
        <v>975</v>
      </c>
      <c r="G403">
        <v>50818</v>
      </c>
      <c r="H403">
        <v>37054</v>
      </c>
      <c r="I403">
        <v>30718</v>
      </c>
      <c r="J403">
        <v>66265</v>
      </c>
    </row>
    <row r="404" spans="1:10" x14ac:dyDescent="0.35">
      <c r="A404">
        <v>503</v>
      </c>
      <c r="B404" t="s">
        <v>83</v>
      </c>
      <c r="C404" t="s">
        <v>16</v>
      </c>
      <c r="D404" t="s">
        <v>28</v>
      </c>
      <c r="E404" t="s">
        <v>976</v>
      </c>
      <c r="F404" t="s">
        <v>977</v>
      </c>
      <c r="G404">
        <v>31839</v>
      </c>
      <c r="H404">
        <v>74719</v>
      </c>
      <c r="I404">
        <v>31029</v>
      </c>
      <c r="J404">
        <v>69147</v>
      </c>
    </row>
    <row r="405" spans="1:10" x14ac:dyDescent="0.35">
      <c r="A405">
        <v>504</v>
      </c>
      <c r="B405" t="s">
        <v>665</v>
      </c>
      <c r="C405" t="s">
        <v>32</v>
      </c>
      <c r="D405" t="s">
        <v>28</v>
      </c>
      <c r="E405" t="s">
        <v>978</v>
      </c>
      <c r="F405" t="s">
        <v>979</v>
      </c>
      <c r="G405">
        <v>38630</v>
      </c>
      <c r="H405">
        <v>64650</v>
      </c>
      <c r="I405">
        <v>64606</v>
      </c>
      <c r="J405">
        <v>27994</v>
      </c>
    </row>
    <row r="406" spans="1:10" x14ac:dyDescent="0.35">
      <c r="A406">
        <v>505</v>
      </c>
      <c r="B406" t="s">
        <v>204</v>
      </c>
      <c r="C406" t="s">
        <v>27</v>
      </c>
      <c r="D406" t="s">
        <v>12</v>
      </c>
      <c r="E406" t="s">
        <v>980</v>
      </c>
      <c r="F406" t="s">
        <v>981</v>
      </c>
      <c r="G406">
        <v>49694</v>
      </c>
      <c r="H406">
        <v>41293</v>
      </c>
      <c r="I406">
        <v>67942</v>
      </c>
      <c r="J406">
        <v>68124</v>
      </c>
    </row>
    <row r="407" spans="1:10" x14ac:dyDescent="0.35">
      <c r="A407">
        <v>506</v>
      </c>
      <c r="B407" t="s">
        <v>550</v>
      </c>
      <c r="C407" t="s">
        <v>27</v>
      </c>
      <c r="D407" t="s">
        <v>28</v>
      </c>
      <c r="E407" t="s">
        <v>982</v>
      </c>
      <c r="F407" t="s">
        <v>983</v>
      </c>
      <c r="G407">
        <v>70520</v>
      </c>
      <c r="H407">
        <v>76722</v>
      </c>
      <c r="I407">
        <v>46143</v>
      </c>
      <c r="J407">
        <v>25845</v>
      </c>
    </row>
    <row r="408" spans="1:10" x14ac:dyDescent="0.35">
      <c r="A408">
        <v>507</v>
      </c>
      <c r="B408" t="s">
        <v>984</v>
      </c>
      <c r="C408" t="s">
        <v>16</v>
      </c>
      <c r="D408" t="s">
        <v>20</v>
      </c>
      <c r="E408" t="s">
        <v>985</v>
      </c>
      <c r="F408" t="s">
        <v>986</v>
      </c>
      <c r="G408">
        <v>63615</v>
      </c>
      <c r="H408">
        <v>26298</v>
      </c>
      <c r="I408">
        <v>74529</v>
      </c>
      <c r="J408">
        <v>44081</v>
      </c>
    </row>
    <row r="409" spans="1:10" x14ac:dyDescent="0.35">
      <c r="A409">
        <v>508</v>
      </c>
      <c r="B409" t="s">
        <v>324</v>
      </c>
      <c r="C409" t="s">
        <v>16</v>
      </c>
      <c r="D409" t="s">
        <v>20</v>
      </c>
      <c r="E409" t="s">
        <v>719</v>
      </c>
      <c r="F409" t="s">
        <v>987</v>
      </c>
      <c r="G409">
        <v>53642</v>
      </c>
      <c r="H409">
        <v>42396</v>
      </c>
      <c r="I409">
        <v>50377</v>
      </c>
      <c r="J409">
        <v>64331</v>
      </c>
    </row>
    <row r="410" spans="1:10" x14ac:dyDescent="0.35">
      <c r="A410">
        <v>509</v>
      </c>
      <c r="B410" t="s">
        <v>735</v>
      </c>
      <c r="C410" t="s">
        <v>32</v>
      </c>
      <c r="D410" t="s">
        <v>28</v>
      </c>
      <c r="E410" t="s">
        <v>988</v>
      </c>
      <c r="F410" t="s">
        <v>989</v>
      </c>
      <c r="G410">
        <v>48031</v>
      </c>
      <c r="H410">
        <v>39364</v>
      </c>
      <c r="I410">
        <v>57259</v>
      </c>
      <c r="J410">
        <v>23127</v>
      </c>
    </row>
    <row r="411" spans="1:10" x14ac:dyDescent="0.35">
      <c r="A411">
        <v>510</v>
      </c>
      <c r="B411" t="s">
        <v>990</v>
      </c>
      <c r="C411" t="s">
        <v>32</v>
      </c>
      <c r="D411" t="s">
        <v>28</v>
      </c>
      <c r="E411" t="s">
        <v>991</v>
      </c>
      <c r="F411" t="s">
        <v>992</v>
      </c>
      <c r="G411">
        <v>31767</v>
      </c>
      <c r="H411">
        <v>71522</v>
      </c>
      <c r="I411">
        <v>31941</v>
      </c>
      <c r="J411">
        <v>75240</v>
      </c>
    </row>
    <row r="412" spans="1:10" x14ac:dyDescent="0.35">
      <c r="A412">
        <v>511</v>
      </c>
      <c r="B412" t="s">
        <v>993</v>
      </c>
      <c r="C412" t="s">
        <v>16</v>
      </c>
      <c r="D412" t="s">
        <v>12</v>
      </c>
      <c r="E412" t="s">
        <v>994</v>
      </c>
      <c r="F412" t="s">
        <v>995</v>
      </c>
      <c r="G412">
        <v>68957</v>
      </c>
      <c r="H412">
        <v>59587</v>
      </c>
      <c r="I412">
        <v>36994</v>
      </c>
      <c r="J412">
        <v>77122</v>
      </c>
    </row>
    <row r="413" spans="1:10" x14ac:dyDescent="0.35">
      <c r="A413">
        <v>512</v>
      </c>
      <c r="B413" t="s">
        <v>996</v>
      </c>
      <c r="C413" t="s">
        <v>55</v>
      </c>
      <c r="D413" t="s">
        <v>20</v>
      </c>
      <c r="E413" t="s">
        <v>997</v>
      </c>
      <c r="F413" t="s">
        <v>998</v>
      </c>
      <c r="G413">
        <v>72732</v>
      </c>
      <c r="H413">
        <v>39834</v>
      </c>
      <c r="I413">
        <v>25743</v>
      </c>
      <c r="J413">
        <v>28197</v>
      </c>
    </row>
    <row r="414" spans="1:10" x14ac:dyDescent="0.35">
      <c r="A414">
        <v>513</v>
      </c>
      <c r="B414" t="s">
        <v>443</v>
      </c>
      <c r="C414" t="s">
        <v>55</v>
      </c>
      <c r="D414" t="s">
        <v>28</v>
      </c>
      <c r="E414" t="s">
        <v>999</v>
      </c>
      <c r="F414" t="s">
        <v>1000</v>
      </c>
      <c r="G414">
        <v>70444</v>
      </c>
      <c r="H414">
        <v>50371</v>
      </c>
      <c r="I414">
        <v>29710</v>
      </c>
      <c r="J414">
        <v>51063</v>
      </c>
    </row>
    <row r="415" spans="1:10" x14ac:dyDescent="0.35">
      <c r="A415">
        <v>514</v>
      </c>
      <c r="B415" t="s">
        <v>1001</v>
      </c>
      <c r="C415" t="s">
        <v>39</v>
      </c>
      <c r="D415" t="s">
        <v>43</v>
      </c>
      <c r="E415" t="s">
        <v>1002</v>
      </c>
      <c r="F415" t="s">
        <v>1003</v>
      </c>
      <c r="G415">
        <v>74358</v>
      </c>
      <c r="H415">
        <v>74646</v>
      </c>
      <c r="I415">
        <v>45672</v>
      </c>
      <c r="J415">
        <v>23337</v>
      </c>
    </row>
    <row r="416" spans="1:10" x14ac:dyDescent="0.35">
      <c r="A416">
        <v>515</v>
      </c>
      <c r="B416" t="s">
        <v>1001</v>
      </c>
      <c r="C416" t="s">
        <v>11</v>
      </c>
      <c r="D416" t="s">
        <v>20</v>
      </c>
      <c r="E416" t="s">
        <v>1004</v>
      </c>
      <c r="F416" t="s">
        <v>1005</v>
      </c>
      <c r="G416">
        <v>66811</v>
      </c>
      <c r="H416">
        <v>23978</v>
      </c>
      <c r="I416">
        <v>54623</v>
      </c>
      <c r="J416">
        <v>21246</v>
      </c>
    </row>
    <row r="417" spans="1:10" x14ac:dyDescent="0.35">
      <c r="A417">
        <v>516</v>
      </c>
      <c r="B417" t="s">
        <v>101</v>
      </c>
      <c r="C417" t="s">
        <v>111</v>
      </c>
      <c r="D417" t="s">
        <v>20</v>
      </c>
      <c r="E417" t="s">
        <v>1006</v>
      </c>
      <c r="F417" t="s">
        <v>1007</v>
      </c>
      <c r="G417">
        <v>48712</v>
      </c>
      <c r="H417">
        <v>35211</v>
      </c>
      <c r="I417">
        <v>53268</v>
      </c>
      <c r="J417">
        <v>34398</v>
      </c>
    </row>
    <row r="418" spans="1:10" x14ac:dyDescent="0.35">
      <c r="A418">
        <v>517</v>
      </c>
      <c r="B418" t="s">
        <v>89</v>
      </c>
      <c r="C418" t="s">
        <v>39</v>
      </c>
      <c r="D418" t="s">
        <v>12</v>
      </c>
      <c r="E418" t="s">
        <v>90</v>
      </c>
      <c r="F418" t="s">
        <v>1008</v>
      </c>
      <c r="G418">
        <v>65265</v>
      </c>
      <c r="H418">
        <v>69103</v>
      </c>
      <c r="I418">
        <v>25648</v>
      </c>
      <c r="J418">
        <v>63716</v>
      </c>
    </row>
    <row r="419" spans="1:10" x14ac:dyDescent="0.35">
      <c r="A419">
        <v>518</v>
      </c>
      <c r="B419" t="s">
        <v>591</v>
      </c>
      <c r="C419" t="s">
        <v>39</v>
      </c>
      <c r="D419" t="s">
        <v>43</v>
      </c>
      <c r="E419" t="s">
        <v>636</v>
      </c>
      <c r="F419" t="s">
        <v>1009</v>
      </c>
      <c r="G419">
        <v>77731</v>
      </c>
      <c r="H419">
        <v>37092</v>
      </c>
      <c r="I419">
        <v>43399</v>
      </c>
      <c r="J419">
        <v>64363</v>
      </c>
    </row>
    <row r="420" spans="1:10" x14ac:dyDescent="0.35">
      <c r="A420">
        <v>519</v>
      </c>
      <c r="B420" t="s">
        <v>373</v>
      </c>
      <c r="C420" t="s">
        <v>27</v>
      </c>
      <c r="D420" t="s">
        <v>28</v>
      </c>
      <c r="E420" t="s">
        <v>407</v>
      </c>
      <c r="F420" t="s">
        <v>1010</v>
      </c>
      <c r="G420">
        <v>70421</v>
      </c>
      <c r="H420">
        <v>23058</v>
      </c>
      <c r="I420">
        <v>70468</v>
      </c>
      <c r="J420">
        <v>77521</v>
      </c>
    </row>
    <row r="421" spans="1:10" x14ac:dyDescent="0.35">
      <c r="A421">
        <v>520</v>
      </c>
      <c r="B421" t="s">
        <v>726</v>
      </c>
      <c r="C421" t="s">
        <v>27</v>
      </c>
      <c r="D421" t="s">
        <v>28</v>
      </c>
      <c r="E421" t="s">
        <v>1011</v>
      </c>
      <c r="F421" t="s">
        <v>1012</v>
      </c>
      <c r="G421">
        <v>61282</v>
      </c>
      <c r="H421">
        <v>27737</v>
      </c>
      <c r="I421">
        <v>77073</v>
      </c>
      <c r="J421">
        <v>33460</v>
      </c>
    </row>
    <row r="422" spans="1:10" x14ac:dyDescent="0.35">
      <c r="A422">
        <v>521</v>
      </c>
      <c r="B422" t="s">
        <v>419</v>
      </c>
      <c r="C422" t="s">
        <v>11</v>
      </c>
      <c r="D422" t="s">
        <v>20</v>
      </c>
      <c r="E422" t="s">
        <v>1013</v>
      </c>
      <c r="F422" t="s">
        <v>1014</v>
      </c>
      <c r="G422">
        <v>74710</v>
      </c>
      <c r="H422">
        <v>73028</v>
      </c>
      <c r="I422">
        <v>51042</v>
      </c>
      <c r="J422">
        <v>42368</v>
      </c>
    </row>
    <row r="423" spans="1:10" x14ac:dyDescent="0.35">
      <c r="A423">
        <v>522</v>
      </c>
      <c r="B423" t="s">
        <v>804</v>
      </c>
      <c r="C423" t="s">
        <v>111</v>
      </c>
      <c r="D423" t="s">
        <v>12</v>
      </c>
      <c r="E423" t="s">
        <v>1015</v>
      </c>
      <c r="F423" t="s">
        <v>1016</v>
      </c>
      <c r="G423">
        <v>78855</v>
      </c>
      <c r="H423">
        <v>50064</v>
      </c>
      <c r="I423">
        <v>75862</v>
      </c>
      <c r="J423">
        <v>53826</v>
      </c>
    </row>
    <row r="424" spans="1:10" x14ac:dyDescent="0.35">
      <c r="A424">
        <v>523</v>
      </c>
      <c r="B424" t="s">
        <v>401</v>
      </c>
      <c r="C424" t="s">
        <v>39</v>
      </c>
      <c r="D424" t="s">
        <v>28</v>
      </c>
      <c r="E424" t="s">
        <v>875</v>
      </c>
      <c r="F424" t="s">
        <v>1017</v>
      </c>
      <c r="G424">
        <v>69754</v>
      </c>
      <c r="H424">
        <v>22430</v>
      </c>
      <c r="I424">
        <v>63265</v>
      </c>
      <c r="J424">
        <v>62039</v>
      </c>
    </row>
    <row r="425" spans="1:10" x14ac:dyDescent="0.35">
      <c r="A425">
        <v>524</v>
      </c>
      <c r="B425" t="s">
        <v>1018</v>
      </c>
      <c r="C425" t="s">
        <v>16</v>
      </c>
      <c r="D425" t="s">
        <v>20</v>
      </c>
      <c r="E425" t="s">
        <v>1019</v>
      </c>
      <c r="F425" t="s">
        <v>1020</v>
      </c>
      <c r="G425">
        <v>78168</v>
      </c>
      <c r="H425">
        <v>55679</v>
      </c>
      <c r="I425">
        <v>60918</v>
      </c>
      <c r="J425">
        <v>71664</v>
      </c>
    </row>
    <row r="426" spans="1:10" x14ac:dyDescent="0.35">
      <c r="A426">
        <v>525</v>
      </c>
      <c r="B426" t="s">
        <v>229</v>
      </c>
      <c r="C426" t="s">
        <v>27</v>
      </c>
      <c r="D426" t="s">
        <v>20</v>
      </c>
      <c r="E426" t="s">
        <v>1021</v>
      </c>
      <c r="F426" t="s">
        <v>1022</v>
      </c>
      <c r="G426">
        <v>53532</v>
      </c>
      <c r="H426">
        <v>56161</v>
      </c>
      <c r="I426">
        <v>40463</v>
      </c>
      <c r="J426">
        <v>54166</v>
      </c>
    </row>
    <row r="427" spans="1:10" x14ac:dyDescent="0.35">
      <c r="A427">
        <v>526</v>
      </c>
      <c r="B427" t="s">
        <v>1023</v>
      </c>
      <c r="C427" t="s">
        <v>55</v>
      </c>
      <c r="D427" t="s">
        <v>12</v>
      </c>
      <c r="E427" t="s">
        <v>1024</v>
      </c>
      <c r="F427" t="s">
        <v>1025</v>
      </c>
      <c r="G427">
        <v>23128</v>
      </c>
      <c r="H427">
        <v>69581</v>
      </c>
      <c r="I427">
        <v>62661</v>
      </c>
      <c r="J427">
        <v>28175</v>
      </c>
    </row>
    <row r="428" spans="1:10" x14ac:dyDescent="0.35">
      <c r="A428">
        <v>527</v>
      </c>
      <c r="B428" t="s">
        <v>914</v>
      </c>
      <c r="C428" t="s">
        <v>16</v>
      </c>
      <c r="D428" t="s">
        <v>12</v>
      </c>
      <c r="E428" t="s">
        <v>1026</v>
      </c>
      <c r="F428" t="s">
        <v>1027</v>
      </c>
      <c r="G428">
        <v>68333</v>
      </c>
      <c r="H428">
        <v>36228</v>
      </c>
      <c r="I428">
        <v>26896</v>
      </c>
      <c r="J428">
        <v>41485</v>
      </c>
    </row>
    <row r="429" spans="1:10" x14ac:dyDescent="0.35">
      <c r="A429">
        <v>528</v>
      </c>
      <c r="B429" t="s">
        <v>617</v>
      </c>
      <c r="C429" t="s">
        <v>16</v>
      </c>
      <c r="D429" t="s">
        <v>28</v>
      </c>
      <c r="E429" t="s">
        <v>1028</v>
      </c>
      <c r="F429" t="s">
        <v>1029</v>
      </c>
      <c r="G429">
        <v>25116</v>
      </c>
      <c r="H429">
        <v>44202</v>
      </c>
      <c r="I429">
        <v>64356</v>
      </c>
      <c r="J429">
        <v>54488</v>
      </c>
    </row>
    <row r="430" spans="1:10" x14ac:dyDescent="0.35">
      <c r="A430">
        <v>529</v>
      </c>
      <c r="B430" t="s">
        <v>839</v>
      </c>
      <c r="C430" t="s">
        <v>32</v>
      </c>
      <c r="D430" t="s">
        <v>20</v>
      </c>
      <c r="E430" t="s">
        <v>1030</v>
      </c>
      <c r="F430" t="s">
        <v>1031</v>
      </c>
      <c r="G430">
        <v>28479</v>
      </c>
      <c r="H430">
        <v>66171</v>
      </c>
      <c r="I430">
        <v>53632</v>
      </c>
      <c r="J430">
        <v>76575</v>
      </c>
    </row>
    <row r="431" spans="1:10" x14ac:dyDescent="0.35">
      <c r="A431">
        <v>530</v>
      </c>
      <c r="B431" t="s">
        <v>232</v>
      </c>
      <c r="C431" t="s">
        <v>16</v>
      </c>
      <c r="D431" t="s">
        <v>20</v>
      </c>
      <c r="E431" t="s">
        <v>1032</v>
      </c>
      <c r="F431" t="s">
        <v>1033</v>
      </c>
      <c r="G431">
        <v>30046</v>
      </c>
      <c r="H431">
        <v>27716</v>
      </c>
      <c r="I431">
        <v>44344</v>
      </c>
      <c r="J431">
        <v>39983</v>
      </c>
    </row>
    <row r="432" spans="1:10" x14ac:dyDescent="0.35">
      <c r="A432">
        <v>531</v>
      </c>
      <c r="B432" t="s">
        <v>543</v>
      </c>
      <c r="C432" t="s">
        <v>16</v>
      </c>
      <c r="D432" t="s">
        <v>28</v>
      </c>
      <c r="E432" t="s">
        <v>1034</v>
      </c>
      <c r="F432" t="s">
        <v>1035</v>
      </c>
      <c r="G432">
        <v>42849</v>
      </c>
      <c r="H432">
        <v>24427</v>
      </c>
      <c r="I432">
        <v>77044</v>
      </c>
      <c r="J432">
        <v>22928</v>
      </c>
    </row>
    <row r="433" spans="1:10" x14ac:dyDescent="0.35">
      <c r="A433">
        <v>532</v>
      </c>
      <c r="B433" t="s">
        <v>181</v>
      </c>
      <c r="C433" t="s">
        <v>32</v>
      </c>
      <c r="D433" t="s">
        <v>20</v>
      </c>
      <c r="E433" t="s">
        <v>1036</v>
      </c>
      <c r="F433" t="s">
        <v>1037</v>
      </c>
      <c r="G433">
        <v>29763</v>
      </c>
      <c r="H433">
        <v>76776</v>
      </c>
      <c r="I433">
        <v>67701</v>
      </c>
      <c r="J433">
        <v>41313</v>
      </c>
    </row>
    <row r="434" spans="1:10" x14ac:dyDescent="0.35">
      <c r="A434">
        <v>533</v>
      </c>
      <c r="B434" t="s">
        <v>1038</v>
      </c>
      <c r="C434" t="s">
        <v>39</v>
      </c>
      <c r="D434" t="s">
        <v>20</v>
      </c>
      <c r="E434" t="s">
        <v>1039</v>
      </c>
      <c r="F434" t="s">
        <v>1040</v>
      </c>
      <c r="G434">
        <v>61294</v>
      </c>
      <c r="H434">
        <v>72177</v>
      </c>
      <c r="I434">
        <v>70567</v>
      </c>
      <c r="J434">
        <v>66360</v>
      </c>
    </row>
    <row r="435" spans="1:10" x14ac:dyDescent="0.35">
      <c r="A435">
        <v>534</v>
      </c>
      <c r="B435" t="s">
        <v>645</v>
      </c>
      <c r="C435" t="s">
        <v>39</v>
      </c>
      <c r="D435" t="s">
        <v>28</v>
      </c>
      <c r="E435" t="s">
        <v>646</v>
      </c>
      <c r="F435" t="s">
        <v>1041</v>
      </c>
      <c r="G435">
        <v>36075</v>
      </c>
      <c r="H435">
        <v>74374</v>
      </c>
      <c r="I435">
        <v>66243</v>
      </c>
      <c r="J435">
        <v>74979</v>
      </c>
    </row>
    <row r="436" spans="1:10" x14ac:dyDescent="0.35">
      <c r="A436">
        <v>535</v>
      </c>
      <c r="B436" t="s">
        <v>262</v>
      </c>
      <c r="C436" t="s">
        <v>27</v>
      </c>
      <c r="D436" t="s">
        <v>12</v>
      </c>
      <c r="E436" t="s">
        <v>1042</v>
      </c>
      <c r="F436" t="s">
        <v>1043</v>
      </c>
      <c r="G436">
        <v>36854</v>
      </c>
      <c r="H436">
        <v>25965</v>
      </c>
      <c r="I436">
        <v>27513</v>
      </c>
      <c r="J436">
        <v>26509</v>
      </c>
    </row>
    <row r="437" spans="1:10" x14ac:dyDescent="0.35">
      <c r="A437">
        <v>536</v>
      </c>
      <c r="B437" t="s">
        <v>419</v>
      </c>
      <c r="C437" t="s">
        <v>39</v>
      </c>
      <c r="D437" t="s">
        <v>43</v>
      </c>
      <c r="E437" t="s">
        <v>1044</v>
      </c>
      <c r="F437" t="s">
        <v>1045</v>
      </c>
      <c r="G437">
        <v>39531</v>
      </c>
      <c r="H437">
        <v>45555</v>
      </c>
      <c r="I437">
        <v>26471</v>
      </c>
      <c r="J437">
        <v>40974</v>
      </c>
    </row>
    <row r="438" spans="1:10" x14ac:dyDescent="0.35">
      <c r="A438">
        <v>537</v>
      </c>
      <c r="B438" t="s">
        <v>330</v>
      </c>
      <c r="C438" t="s">
        <v>111</v>
      </c>
      <c r="D438" t="s">
        <v>20</v>
      </c>
      <c r="E438" t="s">
        <v>331</v>
      </c>
      <c r="F438" t="s">
        <v>1046</v>
      </c>
      <c r="G438">
        <v>40862</v>
      </c>
      <c r="H438">
        <v>50462</v>
      </c>
      <c r="I438">
        <v>56249</v>
      </c>
      <c r="J438">
        <v>46678</v>
      </c>
    </row>
    <row r="439" spans="1:10" x14ac:dyDescent="0.35">
      <c r="A439">
        <v>538</v>
      </c>
      <c r="B439" t="s">
        <v>305</v>
      </c>
      <c r="C439" t="s">
        <v>16</v>
      </c>
      <c r="D439" t="s">
        <v>43</v>
      </c>
      <c r="E439" t="s">
        <v>1047</v>
      </c>
      <c r="F439" t="s">
        <v>1048</v>
      </c>
      <c r="G439">
        <v>44464</v>
      </c>
      <c r="H439">
        <v>55418</v>
      </c>
      <c r="I439">
        <v>31022</v>
      </c>
      <c r="J439">
        <v>71250</v>
      </c>
    </row>
    <row r="440" spans="1:10" x14ac:dyDescent="0.35">
      <c r="A440">
        <v>539</v>
      </c>
      <c r="B440" t="s">
        <v>98</v>
      </c>
      <c r="C440" t="s">
        <v>55</v>
      </c>
      <c r="D440" t="s">
        <v>28</v>
      </c>
      <c r="E440" t="s">
        <v>99</v>
      </c>
      <c r="F440" t="s">
        <v>1049</v>
      </c>
      <c r="G440">
        <v>75095</v>
      </c>
      <c r="H440">
        <v>53444</v>
      </c>
      <c r="I440">
        <v>38436</v>
      </c>
      <c r="J440">
        <v>22980</v>
      </c>
    </row>
    <row r="441" spans="1:10" x14ac:dyDescent="0.35">
      <c r="A441">
        <v>540</v>
      </c>
      <c r="B441" t="s">
        <v>855</v>
      </c>
      <c r="C441" t="s">
        <v>55</v>
      </c>
      <c r="D441" t="s">
        <v>20</v>
      </c>
      <c r="E441" t="s">
        <v>1050</v>
      </c>
      <c r="F441" t="s">
        <v>1051</v>
      </c>
      <c r="G441">
        <v>63402</v>
      </c>
      <c r="H441">
        <v>41078</v>
      </c>
      <c r="I441">
        <v>42389</v>
      </c>
      <c r="J441">
        <v>33803</v>
      </c>
    </row>
    <row r="442" spans="1:10" x14ac:dyDescent="0.35">
      <c r="A442">
        <v>541</v>
      </c>
      <c r="B442" t="s">
        <v>389</v>
      </c>
      <c r="C442" t="s">
        <v>11</v>
      </c>
      <c r="D442" t="s">
        <v>43</v>
      </c>
      <c r="E442" t="s">
        <v>1052</v>
      </c>
      <c r="F442" t="s">
        <v>1053</v>
      </c>
      <c r="G442">
        <v>55300</v>
      </c>
      <c r="H442">
        <v>22028</v>
      </c>
      <c r="I442">
        <v>78495</v>
      </c>
      <c r="J442">
        <v>74531</v>
      </c>
    </row>
    <row r="443" spans="1:10" x14ac:dyDescent="0.35">
      <c r="A443">
        <v>542</v>
      </c>
      <c r="B443" t="s">
        <v>212</v>
      </c>
      <c r="C443" t="s">
        <v>27</v>
      </c>
      <c r="D443" t="s">
        <v>20</v>
      </c>
      <c r="E443" t="s">
        <v>213</v>
      </c>
      <c r="F443" t="s">
        <v>1054</v>
      </c>
      <c r="G443">
        <v>68702</v>
      </c>
      <c r="H443">
        <v>21296</v>
      </c>
      <c r="I443">
        <v>69703</v>
      </c>
      <c r="J443">
        <v>38424</v>
      </c>
    </row>
    <row r="444" spans="1:10" x14ac:dyDescent="0.35">
      <c r="A444">
        <v>543</v>
      </c>
      <c r="B444" t="s">
        <v>877</v>
      </c>
      <c r="C444" t="s">
        <v>27</v>
      </c>
      <c r="D444" t="s">
        <v>12</v>
      </c>
      <c r="E444" t="s">
        <v>878</v>
      </c>
      <c r="F444" t="s">
        <v>1055</v>
      </c>
      <c r="G444">
        <v>27270</v>
      </c>
      <c r="H444">
        <v>77010</v>
      </c>
      <c r="I444">
        <v>38176</v>
      </c>
      <c r="J444">
        <v>57296</v>
      </c>
    </row>
    <row r="445" spans="1:10" x14ac:dyDescent="0.35">
      <c r="A445">
        <v>544</v>
      </c>
      <c r="B445" t="s">
        <v>652</v>
      </c>
      <c r="C445" t="s">
        <v>32</v>
      </c>
      <c r="D445" t="s">
        <v>43</v>
      </c>
      <c r="E445" t="s">
        <v>1056</v>
      </c>
      <c r="F445" t="s">
        <v>1057</v>
      </c>
      <c r="G445">
        <v>67769</v>
      </c>
      <c r="H445">
        <v>71265</v>
      </c>
      <c r="I445">
        <v>37978</v>
      </c>
      <c r="J445">
        <v>32573</v>
      </c>
    </row>
    <row r="446" spans="1:10" x14ac:dyDescent="0.35">
      <c r="A446">
        <v>545</v>
      </c>
      <c r="B446" t="s">
        <v>1058</v>
      </c>
      <c r="C446" t="s">
        <v>55</v>
      </c>
      <c r="D446" t="s">
        <v>20</v>
      </c>
      <c r="E446" t="s">
        <v>1059</v>
      </c>
      <c r="F446" t="s">
        <v>1060</v>
      </c>
      <c r="G446">
        <v>53898</v>
      </c>
      <c r="H446">
        <v>69743</v>
      </c>
      <c r="I446">
        <v>22848</v>
      </c>
      <c r="J446">
        <v>77920</v>
      </c>
    </row>
    <row r="447" spans="1:10" x14ac:dyDescent="0.35">
      <c r="A447">
        <v>546</v>
      </c>
      <c r="B447" t="s">
        <v>1061</v>
      </c>
      <c r="C447" t="s">
        <v>16</v>
      </c>
      <c r="D447" t="s">
        <v>20</v>
      </c>
      <c r="E447" t="s">
        <v>1062</v>
      </c>
      <c r="F447" t="s">
        <v>1063</v>
      </c>
      <c r="G447">
        <v>41576</v>
      </c>
      <c r="H447">
        <v>40368</v>
      </c>
      <c r="I447">
        <v>24118</v>
      </c>
      <c r="J447">
        <v>61025</v>
      </c>
    </row>
    <row r="448" spans="1:10" x14ac:dyDescent="0.35">
      <c r="A448">
        <v>547</v>
      </c>
      <c r="B448" t="s">
        <v>1064</v>
      </c>
      <c r="C448" t="s">
        <v>16</v>
      </c>
      <c r="D448" t="s">
        <v>28</v>
      </c>
      <c r="E448" t="s">
        <v>1065</v>
      </c>
      <c r="F448" t="s">
        <v>1066</v>
      </c>
      <c r="G448">
        <v>54057</v>
      </c>
      <c r="H448">
        <v>72042</v>
      </c>
      <c r="I448">
        <v>35515</v>
      </c>
      <c r="J448">
        <v>24778</v>
      </c>
    </row>
    <row r="449" spans="1:10" x14ac:dyDescent="0.35">
      <c r="A449">
        <v>548</v>
      </c>
      <c r="B449" t="s">
        <v>46</v>
      </c>
      <c r="C449" t="s">
        <v>11</v>
      </c>
      <c r="D449" t="s">
        <v>20</v>
      </c>
      <c r="E449" t="s">
        <v>1067</v>
      </c>
      <c r="F449" t="s">
        <v>1068</v>
      </c>
      <c r="G449">
        <v>39757</v>
      </c>
      <c r="H449">
        <v>60025</v>
      </c>
      <c r="I449">
        <v>61037</v>
      </c>
      <c r="J449">
        <v>48301</v>
      </c>
    </row>
    <row r="450" spans="1:10" x14ac:dyDescent="0.35">
      <c r="A450">
        <v>549</v>
      </c>
      <c r="B450" t="s">
        <v>487</v>
      </c>
      <c r="C450" t="s">
        <v>32</v>
      </c>
      <c r="D450" t="s">
        <v>28</v>
      </c>
      <c r="E450" t="s">
        <v>740</v>
      </c>
      <c r="F450" t="s">
        <v>1069</v>
      </c>
      <c r="G450">
        <v>49758</v>
      </c>
      <c r="H450">
        <v>53896</v>
      </c>
      <c r="I450">
        <v>41508</v>
      </c>
      <c r="J450">
        <v>58522</v>
      </c>
    </row>
    <row r="451" spans="1:10" x14ac:dyDescent="0.35">
      <c r="A451">
        <v>550</v>
      </c>
      <c r="B451" t="s">
        <v>193</v>
      </c>
      <c r="C451" t="s">
        <v>55</v>
      </c>
      <c r="D451" t="s">
        <v>28</v>
      </c>
      <c r="E451" t="s">
        <v>528</v>
      </c>
      <c r="F451" t="s">
        <v>1070</v>
      </c>
      <c r="G451">
        <v>29022</v>
      </c>
      <c r="H451">
        <v>72233</v>
      </c>
      <c r="I451">
        <v>22888</v>
      </c>
      <c r="J451">
        <v>23964</v>
      </c>
    </row>
    <row r="452" spans="1:10" x14ac:dyDescent="0.35">
      <c r="A452">
        <v>551</v>
      </c>
      <c r="B452" t="s">
        <v>57</v>
      </c>
      <c r="C452" t="s">
        <v>32</v>
      </c>
      <c r="D452" t="s">
        <v>12</v>
      </c>
      <c r="E452" t="s">
        <v>1071</v>
      </c>
      <c r="F452" t="s">
        <v>1072</v>
      </c>
      <c r="G452">
        <v>53926</v>
      </c>
      <c r="H452">
        <v>58432</v>
      </c>
      <c r="I452">
        <v>63101</v>
      </c>
      <c r="J452">
        <v>64453</v>
      </c>
    </row>
    <row r="453" spans="1:10" x14ac:dyDescent="0.35">
      <c r="A453">
        <v>552</v>
      </c>
      <c r="B453" t="s">
        <v>358</v>
      </c>
      <c r="C453" t="s">
        <v>32</v>
      </c>
      <c r="D453" t="s">
        <v>28</v>
      </c>
      <c r="E453" t="s">
        <v>359</v>
      </c>
      <c r="F453" t="s">
        <v>1073</v>
      </c>
      <c r="G453">
        <v>59306</v>
      </c>
      <c r="H453">
        <v>65378</v>
      </c>
      <c r="I453">
        <v>41701</v>
      </c>
      <c r="J453">
        <v>75837</v>
      </c>
    </row>
    <row r="454" spans="1:10" x14ac:dyDescent="0.35">
      <c r="A454">
        <v>553</v>
      </c>
      <c r="B454" t="s">
        <v>342</v>
      </c>
      <c r="C454" t="s">
        <v>16</v>
      </c>
      <c r="D454" t="s">
        <v>12</v>
      </c>
      <c r="E454" t="s">
        <v>1074</v>
      </c>
      <c r="F454" t="s">
        <v>1075</v>
      </c>
      <c r="G454">
        <v>60889</v>
      </c>
      <c r="H454">
        <v>33968</v>
      </c>
      <c r="I454">
        <v>35664</v>
      </c>
      <c r="J454">
        <v>51506</v>
      </c>
    </row>
    <row r="455" spans="1:10" x14ac:dyDescent="0.35">
      <c r="A455">
        <v>554</v>
      </c>
      <c r="B455" t="s">
        <v>117</v>
      </c>
      <c r="C455" t="s">
        <v>16</v>
      </c>
      <c r="D455" t="s">
        <v>43</v>
      </c>
      <c r="E455" t="s">
        <v>118</v>
      </c>
      <c r="F455" t="s">
        <v>1076</v>
      </c>
      <c r="G455">
        <v>79815</v>
      </c>
      <c r="H455">
        <v>70169</v>
      </c>
      <c r="I455">
        <v>43587</v>
      </c>
      <c r="J455">
        <v>22877</v>
      </c>
    </row>
    <row r="456" spans="1:10" x14ac:dyDescent="0.35">
      <c r="A456">
        <v>555</v>
      </c>
      <c r="B456" t="s">
        <v>131</v>
      </c>
      <c r="C456" t="s">
        <v>111</v>
      </c>
      <c r="D456" t="s">
        <v>43</v>
      </c>
      <c r="E456" t="s">
        <v>1077</v>
      </c>
      <c r="F456" t="s">
        <v>1078</v>
      </c>
      <c r="G456">
        <v>21375</v>
      </c>
      <c r="H456">
        <v>74489</v>
      </c>
      <c r="I456">
        <v>64397</v>
      </c>
      <c r="J456">
        <v>28994</v>
      </c>
    </row>
    <row r="457" spans="1:10" x14ac:dyDescent="0.35">
      <c r="A457">
        <v>556</v>
      </c>
      <c r="B457" t="s">
        <v>302</v>
      </c>
      <c r="C457" t="s">
        <v>39</v>
      </c>
      <c r="D457" t="s">
        <v>12</v>
      </c>
      <c r="E457" t="s">
        <v>1079</v>
      </c>
      <c r="F457" t="s">
        <v>1080</v>
      </c>
      <c r="G457">
        <v>72094</v>
      </c>
      <c r="H457">
        <v>32428</v>
      </c>
      <c r="I457">
        <v>32562</v>
      </c>
      <c r="J457">
        <v>54901</v>
      </c>
    </row>
    <row r="458" spans="1:10" x14ac:dyDescent="0.35">
      <c r="A458">
        <v>557</v>
      </c>
      <c r="B458" t="s">
        <v>792</v>
      </c>
      <c r="C458" t="s">
        <v>32</v>
      </c>
      <c r="D458" t="s">
        <v>20</v>
      </c>
      <c r="E458" t="s">
        <v>793</v>
      </c>
      <c r="F458" t="s">
        <v>1081</v>
      </c>
      <c r="G458">
        <v>61252</v>
      </c>
      <c r="H458">
        <v>72141</v>
      </c>
      <c r="I458">
        <v>38354</v>
      </c>
      <c r="J458">
        <v>77203</v>
      </c>
    </row>
    <row r="459" spans="1:10" x14ac:dyDescent="0.35">
      <c r="A459">
        <v>558</v>
      </c>
      <c r="B459" t="s">
        <v>1082</v>
      </c>
      <c r="C459" t="s">
        <v>11</v>
      </c>
      <c r="D459" t="s">
        <v>28</v>
      </c>
      <c r="E459" t="s">
        <v>1083</v>
      </c>
      <c r="F459" t="s">
        <v>1084</v>
      </c>
      <c r="G459">
        <v>41091</v>
      </c>
      <c r="H459">
        <v>66693</v>
      </c>
      <c r="I459">
        <v>44502</v>
      </c>
      <c r="J459">
        <v>54437</v>
      </c>
    </row>
    <row r="460" spans="1:10" x14ac:dyDescent="0.35">
      <c r="A460">
        <v>559</v>
      </c>
      <c r="B460" t="s">
        <v>376</v>
      </c>
      <c r="C460" t="s">
        <v>111</v>
      </c>
      <c r="D460" t="s">
        <v>20</v>
      </c>
      <c r="E460" t="s">
        <v>1085</v>
      </c>
      <c r="F460" t="s">
        <v>1086</v>
      </c>
      <c r="G460">
        <v>57445</v>
      </c>
      <c r="H460">
        <v>30302</v>
      </c>
      <c r="I460">
        <v>75209</v>
      </c>
      <c r="J460">
        <v>44517</v>
      </c>
    </row>
    <row r="461" spans="1:10" x14ac:dyDescent="0.35">
      <c r="A461">
        <v>560</v>
      </c>
      <c r="B461" t="s">
        <v>282</v>
      </c>
      <c r="C461" t="s">
        <v>27</v>
      </c>
      <c r="D461" t="s">
        <v>28</v>
      </c>
      <c r="E461" t="s">
        <v>1087</v>
      </c>
      <c r="F461" t="s">
        <v>1088</v>
      </c>
      <c r="G461">
        <v>48344</v>
      </c>
      <c r="H461">
        <v>46801</v>
      </c>
      <c r="I461">
        <v>44085</v>
      </c>
      <c r="J461">
        <v>72724</v>
      </c>
    </row>
    <row r="462" spans="1:10" x14ac:dyDescent="0.35">
      <c r="A462">
        <v>561</v>
      </c>
      <c r="B462" t="s">
        <v>533</v>
      </c>
      <c r="C462" t="s">
        <v>16</v>
      </c>
      <c r="D462" t="s">
        <v>28</v>
      </c>
      <c r="E462" t="s">
        <v>1089</v>
      </c>
      <c r="F462" t="s">
        <v>1090</v>
      </c>
      <c r="G462">
        <v>34925</v>
      </c>
      <c r="H462">
        <v>26449</v>
      </c>
      <c r="I462">
        <v>27771</v>
      </c>
      <c r="J462">
        <v>24675</v>
      </c>
    </row>
    <row r="463" spans="1:10" x14ac:dyDescent="0.35">
      <c r="A463">
        <v>562</v>
      </c>
      <c r="B463" t="s">
        <v>594</v>
      </c>
      <c r="C463" t="s">
        <v>111</v>
      </c>
      <c r="D463" t="s">
        <v>43</v>
      </c>
      <c r="E463" t="s">
        <v>858</v>
      </c>
      <c r="F463" t="s">
        <v>1091</v>
      </c>
      <c r="G463">
        <v>70467</v>
      </c>
      <c r="H463">
        <v>39626</v>
      </c>
      <c r="I463">
        <v>38471</v>
      </c>
      <c r="J463">
        <v>73890</v>
      </c>
    </row>
    <row r="464" spans="1:10" x14ac:dyDescent="0.35">
      <c r="A464">
        <v>563</v>
      </c>
      <c r="B464" t="s">
        <v>642</v>
      </c>
      <c r="C464" t="s">
        <v>27</v>
      </c>
      <c r="D464" t="s">
        <v>28</v>
      </c>
      <c r="E464" t="s">
        <v>1092</v>
      </c>
      <c r="F464" t="s">
        <v>1093</v>
      </c>
      <c r="G464">
        <v>58469</v>
      </c>
      <c r="H464">
        <v>71509</v>
      </c>
      <c r="I464">
        <v>56216</v>
      </c>
      <c r="J464">
        <v>69651</v>
      </c>
    </row>
    <row r="465" spans="1:10" x14ac:dyDescent="0.35">
      <c r="A465">
        <v>564</v>
      </c>
      <c r="B465" t="s">
        <v>235</v>
      </c>
      <c r="C465" t="s">
        <v>27</v>
      </c>
      <c r="D465" t="s">
        <v>28</v>
      </c>
      <c r="E465" t="s">
        <v>1094</v>
      </c>
      <c r="F465" t="s">
        <v>1095</v>
      </c>
      <c r="G465">
        <v>77262</v>
      </c>
      <c r="H465">
        <v>28411</v>
      </c>
      <c r="I465">
        <v>40025</v>
      </c>
      <c r="J465">
        <v>68352</v>
      </c>
    </row>
    <row r="466" spans="1:10" x14ac:dyDescent="0.35">
      <c r="A466">
        <v>565</v>
      </c>
      <c r="B466" t="s">
        <v>467</v>
      </c>
      <c r="C466" t="s">
        <v>111</v>
      </c>
      <c r="D466" t="s">
        <v>43</v>
      </c>
      <c r="E466" t="s">
        <v>1096</v>
      </c>
      <c r="F466" t="s">
        <v>1097</v>
      </c>
      <c r="G466">
        <v>57236</v>
      </c>
      <c r="H466">
        <v>61277</v>
      </c>
      <c r="I466">
        <v>72372</v>
      </c>
      <c r="J466">
        <v>59518</v>
      </c>
    </row>
    <row r="467" spans="1:10" x14ac:dyDescent="0.35">
      <c r="A467">
        <v>566</v>
      </c>
      <c r="B467" t="s">
        <v>642</v>
      </c>
      <c r="C467" t="s">
        <v>39</v>
      </c>
      <c r="D467" t="s">
        <v>20</v>
      </c>
      <c r="E467" t="s">
        <v>643</v>
      </c>
      <c r="F467" t="s">
        <v>1098</v>
      </c>
      <c r="G467">
        <v>64229</v>
      </c>
      <c r="H467">
        <v>56235</v>
      </c>
      <c r="I467">
        <v>31641</v>
      </c>
      <c r="J467">
        <v>22101</v>
      </c>
    </row>
    <row r="468" spans="1:10" x14ac:dyDescent="0.35">
      <c r="A468">
        <v>567</v>
      </c>
      <c r="B468" t="s">
        <v>305</v>
      </c>
      <c r="C468" t="s">
        <v>39</v>
      </c>
      <c r="D468" t="s">
        <v>43</v>
      </c>
      <c r="E468" t="s">
        <v>1047</v>
      </c>
      <c r="F468" t="s">
        <v>1099</v>
      </c>
      <c r="G468">
        <v>20723</v>
      </c>
      <c r="H468">
        <v>31260</v>
      </c>
      <c r="I468">
        <v>41415</v>
      </c>
      <c r="J468">
        <v>76341</v>
      </c>
    </row>
    <row r="469" spans="1:10" x14ac:dyDescent="0.35">
      <c r="A469">
        <v>568</v>
      </c>
      <c r="B469" t="s">
        <v>107</v>
      </c>
      <c r="C469" t="s">
        <v>55</v>
      </c>
      <c r="D469" t="s">
        <v>43</v>
      </c>
      <c r="E469" t="s">
        <v>1100</v>
      </c>
      <c r="F469" t="s">
        <v>1101</v>
      </c>
      <c r="G469">
        <v>30405</v>
      </c>
      <c r="H469">
        <v>59564</v>
      </c>
      <c r="I469">
        <v>57689</v>
      </c>
      <c r="J469">
        <v>40336</v>
      </c>
    </row>
    <row r="470" spans="1:10" x14ac:dyDescent="0.35">
      <c r="A470">
        <v>569</v>
      </c>
      <c r="B470" t="s">
        <v>196</v>
      </c>
      <c r="C470" t="s">
        <v>111</v>
      </c>
      <c r="D470" t="s">
        <v>43</v>
      </c>
      <c r="E470" t="s">
        <v>1102</v>
      </c>
      <c r="F470" t="s">
        <v>1103</v>
      </c>
      <c r="G470">
        <v>50323</v>
      </c>
      <c r="H470">
        <v>57757</v>
      </c>
      <c r="I470">
        <v>22561</v>
      </c>
      <c r="J470">
        <v>68319</v>
      </c>
    </row>
    <row r="471" spans="1:10" x14ac:dyDescent="0.35">
      <c r="A471">
        <v>570</v>
      </c>
      <c r="B471" t="s">
        <v>1104</v>
      </c>
      <c r="C471" t="s">
        <v>111</v>
      </c>
      <c r="D471" t="s">
        <v>12</v>
      </c>
      <c r="E471" t="s">
        <v>1105</v>
      </c>
      <c r="F471" t="s">
        <v>1106</v>
      </c>
      <c r="G471">
        <v>65786</v>
      </c>
      <c r="H471">
        <v>22861</v>
      </c>
      <c r="I471">
        <v>35708</v>
      </c>
      <c r="J471">
        <v>78034</v>
      </c>
    </row>
    <row r="472" spans="1:10" x14ac:dyDescent="0.35">
      <c r="A472">
        <v>571</v>
      </c>
      <c r="B472" t="s">
        <v>515</v>
      </c>
      <c r="C472" t="s">
        <v>11</v>
      </c>
      <c r="D472" t="s">
        <v>28</v>
      </c>
      <c r="E472" t="s">
        <v>1107</v>
      </c>
      <c r="F472" t="s">
        <v>1108</v>
      </c>
      <c r="G472">
        <v>49552</v>
      </c>
      <c r="H472">
        <v>30802</v>
      </c>
      <c r="I472">
        <v>36565</v>
      </c>
      <c r="J472">
        <v>33590</v>
      </c>
    </row>
    <row r="473" spans="1:10" x14ac:dyDescent="0.35">
      <c r="A473">
        <v>572</v>
      </c>
      <c r="B473" t="s">
        <v>155</v>
      </c>
      <c r="C473" t="s">
        <v>55</v>
      </c>
      <c r="D473" t="s">
        <v>28</v>
      </c>
      <c r="E473" t="s">
        <v>1109</v>
      </c>
      <c r="F473" t="s">
        <v>1110</v>
      </c>
      <c r="G473">
        <v>66471</v>
      </c>
      <c r="H473">
        <v>28944</v>
      </c>
      <c r="I473">
        <v>41437</v>
      </c>
      <c r="J473">
        <v>63928</v>
      </c>
    </row>
    <row r="474" spans="1:10" x14ac:dyDescent="0.35">
      <c r="A474">
        <v>573</v>
      </c>
      <c r="B474" t="s">
        <v>464</v>
      </c>
      <c r="C474" t="s">
        <v>55</v>
      </c>
      <c r="D474" t="s">
        <v>28</v>
      </c>
      <c r="E474" t="s">
        <v>1111</v>
      </c>
      <c r="F474" t="s">
        <v>1112</v>
      </c>
      <c r="G474">
        <v>31615</v>
      </c>
      <c r="H474">
        <v>39277</v>
      </c>
      <c r="I474">
        <v>28136</v>
      </c>
      <c r="J474">
        <v>55039</v>
      </c>
    </row>
    <row r="475" spans="1:10" x14ac:dyDescent="0.35">
      <c r="A475">
        <v>574</v>
      </c>
      <c r="B475" t="s">
        <v>804</v>
      </c>
      <c r="C475" t="s">
        <v>11</v>
      </c>
      <c r="D475" t="s">
        <v>28</v>
      </c>
      <c r="E475" t="s">
        <v>1015</v>
      </c>
      <c r="F475" t="s">
        <v>1113</v>
      </c>
      <c r="G475">
        <v>74820</v>
      </c>
      <c r="H475">
        <v>61601</v>
      </c>
      <c r="I475">
        <v>73183</v>
      </c>
      <c r="J475">
        <v>54267</v>
      </c>
    </row>
    <row r="476" spans="1:10" x14ac:dyDescent="0.35">
      <c r="A476">
        <v>575</v>
      </c>
      <c r="B476" t="s">
        <v>86</v>
      </c>
      <c r="C476" t="s">
        <v>16</v>
      </c>
      <c r="D476" t="s">
        <v>28</v>
      </c>
      <c r="E476" t="s">
        <v>1114</v>
      </c>
      <c r="F476" t="s">
        <v>1115</v>
      </c>
      <c r="G476">
        <v>21831</v>
      </c>
      <c r="H476">
        <v>20954</v>
      </c>
      <c r="I476">
        <v>42093</v>
      </c>
      <c r="J476">
        <v>73774</v>
      </c>
    </row>
    <row r="477" spans="1:10" x14ac:dyDescent="0.35">
      <c r="A477">
        <v>576</v>
      </c>
      <c r="B477" t="s">
        <v>452</v>
      </c>
      <c r="C477" t="s">
        <v>55</v>
      </c>
      <c r="D477" t="s">
        <v>43</v>
      </c>
      <c r="E477" t="s">
        <v>453</v>
      </c>
      <c r="F477" t="s">
        <v>1116</v>
      </c>
      <c r="G477">
        <v>45890</v>
      </c>
      <c r="H477">
        <v>48041</v>
      </c>
      <c r="I477">
        <v>27917</v>
      </c>
      <c r="J477">
        <v>35231</v>
      </c>
    </row>
    <row r="478" spans="1:10" x14ac:dyDescent="0.35">
      <c r="A478">
        <v>577</v>
      </c>
      <c r="B478" t="s">
        <v>212</v>
      </c>
      <c r="C478" t="s">
        <v>111</v>
      </c>
      <c r="D478" t="s">
        <v>43</v>
      </c>
      <c r="E478" t="s">
        <v>1117</v>
      </c>
      <c r="F478" t="s">
        <v>1118</v>
      </c>
      <c r="G478">
        <v>78029</v>
      </c>
      <c r="H478">
        <v>34323</v>
      </c>
      <c r="I478">
        <v>46941</v>
      </c>
      <c r="J478">
        <v>39761</v>
      </c>
    </row>
    <row r="479" spans="1:10" x14ac:dyDescent="0.35">
      <c r="A479">
        <v>578</v>
      </c>
      <c r="B479" t="s">
        <v>120</v>
      </c>
      <c r="C479" t="s">
        <v>11</v>
      </c>
      <c r="D479" t="s">
        <v>43</v>
      </c>
      <c r="E479" t="s">
        <v>428</v>
      </c>
      <c r="F479" t="s">
        <v>1119</v>
      </c>
      <c r="G479">
        <v>21156</v>
      </c>
      <c r="H479">
        <v>59880</v>
      </c>
      <c r="I479">
        <v>79775</v>
      </c>
      <c r="J479">
        <v>58340</v>
      </c>
    </row>
    <row r="480" spans="1:10" x14ac:dyDescent="0.35">
      <c r="A480">
        <v>579</v>
      </c>
      <c r="B480" t="s">
        <v>355</v>
      </c>
      <c r="C480" t="s">
        <v>32</v>
      </c>
      <c r="D480" t="s">
        <v>28</v>
      </c>
      <c r="E480" t="s">
        <v>1120</v>
      </c>
      <c r="F480" t="s">
        <v>1121</v>
      </c>
      <c r="G480">
        <v>52684</v>
      </c>
      <c r="H480">
        <v>39438</v>
      </c>
      <c r="I480">
        <v>33239</v>
      </c>
      <c r="J480">
        <v>29939</v>
      </c>
    </row>
    <row r="481" spans="1:10" x14ac:dyDescent="0.35">
      <c r="A481">
        <v>580</v>
      </c>
      <c r="B481" t="s">
        <v>271</v>
      </c>
      <c r="C481" t="s">
        <v>39</v>
      </c>
      <c r="D481" t="s">
        <v>20</v>
      </c>
      <c r="E481" t="s">
        <v>1122</v>
      </c>
      <c r="F481" t="s">
        <v>1123</v>
      </c>
      <c r="G481">
        <v>42461</v>
      </c>
      <c r="H481">
        <v>35876</v>
      </c>
      <c r="I481">
        <v>33488</v>
      </c>
      <c r="J481">
        <v>55344</v>
      </c>
    </row>
    <row r="482" spans="1:10" x14ac:dyDescent="0.35">
      <c r="A482">
        <v>581</v>
      </c>
      <c r="B482" t="s">
        <v>251</v>
      </c>
      <c r="C482" t="s">
        <v>32</v>
      </c>
      <c r="D482" t="s">
        <v>20</v>
      </c>
      <c r="E482" t="s">
        <v>1124</v>
      </c>
      <c r="F482" t="s">
        <v>1125</v>
      </c>
      <c r="G482">
        <v>33383</v>
      </c>
      <c r="H482">
        <v>28228</v>
      </c>
      <c r="I482">
        <v>26013</v>
      </c>
      <c r="J482">
        <v>31382</v>
      </c>
    </row>
    <row r="483" spans="1:10" x14ac:dyDescent="0.35">
      <c r="A483">
        <v>582</v>
      </c>
      <c r="B483" t="s">
        <v>75</v>
      </c>
      <c r="C483" t="s">
        <v>32</v>
      </c>
      <c r="D483" t="s">
        <v>28</v>
      </c>
      <c r="E483" t="s">
        <v>1126</v>
      </c>
      <c r="F483" t="s">
        <v>1127</v>
      </c>
      <c r="G483">
        <v>49377</v>
      </c>
      <c r="H483">
        <v>61654</v>
      </c>
      <c r="I483">
        <v>33199</v>
      </c>
      <c r="J483">
        <v>37816</v>
      </c>
    </row>
    <row r="484" spans="1:10" x14ac:dyDescent="0.35">
      <c r="A484">
        <v>583</v>
      </c>
      <c r="B484" t="s">
        <v>1128</v>
      </c>
      <c r="C484" t="s">
        <v>16</v>
      </c>
      <c r="D484" t="s">
        <v>20</v>
      </c>
      <c r="E484" t="s">
        <v>1129</v>
      </c>
      <c r="F484" t="s">
        <v>1130</v>
      </c>
      <c r="G484">
        <v>69732</v>
      </c>
      <c r="H484">
        <v>79405</v>
      </c>
      <c r="I484">
        <v>39675</v>
      </c>
      <c r="J484">
        <v>59005</v>
      </c>
    </row>
    <row r="485" spans="1:10" x14ac:dyDescent="0.35">
      <c r="A485">
        <v>584</v>
      </c>
      <c r="B485" t="s">
        <v>591</v>
      </c>
      <c r="C485" t="s">
        <v>111</v>
      </c>
      <c r="D485" t="s">
        <v>20</v>
      </c>
      <c r="E485" t="s">
        <v>767</v>
      </c>
      <c r="F485" t="s">
        <v>1131</v>
      </c>
      <c r="G485">
        <v>20273</v>
      </c>
      <c r="H485">
        <v>20841</v>
      </c>
      <c r="I485">
        <v>76469</v>
      </c>
      <c r="J485">
        <v>52813</v>
      </c>
    </row>
    <row r="486" spans="1:10" x14ac:dyDescent="0.35">
      <c r="A486">
        <v>585</v>
      </c>
      <c r="B486" t="s">
        <v>1132</v>
      </c>
      <c r="C486" t="s">
        <v>16</v>
      </c>
      <c r="D486" t="s">
        <v>20</v>
      </c>
      <c r="E486" t="s">
        <v>1133</v>
      </c>
      <c r="F486" t="s">
        <v>1134</v>
      </c>
      <c r="G486">
        <v>36728</v>
      </c>
      <c r="H486">
        <v>70545</v>
      </c>
      <c r="I486">
        <v>79840</v>
      </c>
      <c r="J486">
        <v>69255</v>
      </c>
    </row>
    <row r="487" spans="1:10" x14ac:dyDescent="0.35">
      <c r="A487">
        <v>586</v>
      </c>
      <c r="B487" t="s">
        <v>467</v>
      </c>
      <c r="C487" t="s">
        <v>11</v>
      </c>
      <c r="D487" t="s">
        <v>28</v>
      </c>
      <c r="E487" t="s">
        <v>1135</v>
      </c>
      <c r="F487" t="s">
        <v>1136</v>
      </c>
      <c r="G487">
        <v>37126</v>
      </c>
      <c r="H487">
        <v>59677</v>
      </c>
      <c r="I487">
        <v>49849</v>
      </c>
      <c r="J487">
        <v>64634</v>
      </c>
    </row>
    <row r="488" spans="1:10" x14ac:dyDescent="0.35">
      <c r="A488">
        <v>587</v>
      </c>
      <c r="B488" t="s">
        <v>747</v>
      </c>
      <c r="C488" t="s">
        <v>32</v>
      </c>
      <c r="D488" t="s">
        <v>43</v>
      </c>
      <c r="E488" t="s">
        <v>1137</v>
      </c>
      <c r="F488" t="s">
        <v>1138</v>
      </c>
      <c r="G488">
        <v>74378</v>
      </c>
      <c r="H488">
        <v>47975</v>
      </c>
      <c r="I488">
        <v>36572</v>
      </c>
      <c r="J488">
        <v>65340</v>
      </c>
    </row>
    <row r="489" spans="1:10" x14ac:dyDescent="0.35">
      <c r="A489">
        <v>588</v>
      </c>
      <c r="B489" t="s">
        <v>86</v>
      </c>
      <c r="C489" t="s">
        <v>11</v>
      </c>
      <c r="D489" t="s">
        <v>20</v>
      </c>
      <c r="E489" t="s">
        <v>300</v>
      </c>
      <c r="F489" t="s">
        <v>1139</v>
      </c>
      <c r="G489">
        <v>73502</v>
      </c>
      <c r="H489">
        <v>52225</v>
      </c>
      <c r="I489">
        <v>20103</v>
      </c>
      <c r="J489">
        <v>26348</v>
      </c>
    </row>
    <row r="490" spans="1:10" x14ac:dyDescent="0.35">
      <c r="A490">
        <v>589</v>
      </c>
      <c r="B490" t="s">
        <v>291</v>
      </c>
      <c r="C490" t="s">
        <v>11</v>
      </c>
      <c r="D490" t="s">
        <v>12</v>
      </c>
      <c r="E490" t="s">
        <v>948</v>
      </c>
      <c r="F490" t="s">
        <v>1140</v>
      </c>
      <c r="G490">
        <v>57164</v>
      </c>
      <c r="H490">
        <v>73370</v>
      </c>
      <c r="I490">
        <v>33931</v>
      </c>
      <c r="J490">
        <v>32165</v>
      </c>
    </row>
    <row r="491" spans="1:10" x14ac:dyDescent="0.35">
      <c r="A491">
        <v>590</v>
      </c>
      <c r="B491" t="s">
        <v>146</v>
      </c>
      <c r="C491" t="s">
        <v>27</v>
      </c>
      <c r="D491" t="s">
        <v>43</v>
      </c>
      <c r="E491" t="s">
        <v>1141</v>
      </c>
      <c r="F491" t="s">
        <v>1142</v>
      </c>
      <c r="G491">
        <v>38137</v>
      </c>
      <c r="H491">
        <v>24211</v>
      </c>
      <c r="I491">
        <v>42423</v>
      </c>
      <c r="J491">
        <v>21944</v>
      </c>
    </row>
    <row r="492" spans="1:10" x14ac:dyDescent="0.35">
      <c r="A492">
        <v>591</v>
      </c>
      <c r="B492" t="s">
        <v>1143</v>
      </c>
      <c r="C492" t="s">
        <v>16</v>
      </c>
      <c r="D492" t="s">
        <v>28</v>
      </c>
      <c r="E492" t="s">
        <v>1144</v>
      </c>
      <c r="F492" t="s">
        <v>1145</v>
      </c>
      <c r="G492">
        <v>59608</v>
      </c>
      <c r="H492">
        <v>48144</v>
      </c>
      <c r="I492">
        <v>42056</v>
      </c>
      <c r="J492">
        <v>44299</v>
      </c>
    </row>
    <row r="493" spans="1:10" x14ac:dyDescent="0.35">
      <c r="A493">
        <v>592</v>
      </c>
      <c r="B493" t="s">
        <v>123</v>
      </c>
      <c r="C493" t="s">
        <v>111</v>
      </c>
      <c r="D493" t="s">
        <v>20</v>
      </c>
      <c r="E493" t="s">
        <v>1146</v>
      </c>
      <c r="F493" t="s">
        <v>1147</v>
      </c>
      <c r="G493">
        <v>59446</v>
      </c>
      <c r="H493">
        <v>28054</v>
      </c>
      <c r="I493">
        <v>76951</v>
      </c>
      <c r="J493">
        <v>54775</v>
      </c>
    </row>
    <row r="494" spans="1:10" x14ac:dyDescent="0.35">
      <c r="A494">
        <v>593</v>
      </c>
      <c r="B494" t="s">
        <v>507</v>
      </c>
      <c r="C494" t="s">
        <v>16</v>
      </c>
      <c r="D494" t="s">
        <v>20</v>
      </c>
      <c r="E494" t="s">
        <v>1148</v>
      </c>
      <c r="F494" t="s">
        <v>1149</v>
      </c>
      <c r="G494">
        <v>35306</v>
      </c>
      <c r="H494">
        <v>59764</v>
      </c>
      <c r="I494">
        <v>51754</v>
      </c>
      <c r="J494">
        <v>46225</v>
      </c>
    </row>
    <row r="495" spans="1:10" x14ac:dyDescent="0.35">
      <c r="A495">
        <v>594</v>
      </c>
      <c r="B495" t="s">
        <v>1128</v>
      </c>
      <c r="C495" t="s">
        <v>16</v>
      </c>
      <c r="D495" t="s">
        <v>20</v>
      </c>
      <c r="E495" t="s">
        <v>1150</v>
      </c>
      <c r="F495" t="s">
        <v>1151</v>
      </c>
      <c r="G495">
        <v>72220</v>
      </c>
      <c r="H495">
        <v>25707</v>
      </c>
      <c r="I495">
        <v>39749</v>
      </c>
      <c r="J495">
        <v>74549</v>
      </c>
    </row>
    <row r="496" spans="1:10" x14ac:dyDescent="0.35">
      <c r="A496">
        <v>595</v>
      </c>
      <c r="B496" t="s">
        <v>1152</v>
      </c>
      <c r="C496" t="s">
        <v>16</v>
      </c>
      <c r="D496" t="s">
        <v>28</v>
      </c>
      <c r="E496" t="s">
        <v>1153</v>
      </c>
      <c r="F496" t="s">
        <v>1154</v>
      </c>
      <c r="G496">
        <v>79155</v>
      </c>
      <c r="H496">
        <v>45132</v>
      </c>
      <c r="I496">
        <v>70220</v>
      </c>
      <c r="J496">
        <v>38373</v>
      </c>
    </row>
    <row r="497" spans="1:10" x14ac:dyDescent="0.35">
      <c r="A497">
        <v>596</v>
      </c>
      <c r="B497" t="s">
        <v>562</v>
      </c>
      <c r="C497" t="s">
        <v>11</v>
      </c>
      <c r="D497" t="s">
        <v>28</v>
      </c>
      <c r="E497" t="s">
        <v>1155</v>
      </c>
      <c r="F497" t="s">
        <v>1156</v>
      </c>
      <c r="G497">
        <v>44707</v>
      </c>
      <c r="H497">
        <v>79648</v>
      </c>
      <c r="I497">
        <v>67018</v>
      </c>
      <c r="J497">
        <v>68691</v>
      </c>
    </row>
    <row r="498" spans="1:10" x14ac:dyDescent="0.35">
      <c r="A498">
        <v>597</v>
      </c>
      <c r="B498" t="s">
        <v>15</v>
      </c>
      <c r="C498" t="s">
        <v>39</v>
      </c>
      <c r="D498" t="s">
        <v>12</v>
      </c>
      <c r="E498" t="s">
        <v>17</v>
      </c>
      <c r="F498" t="s">
        <v>1157</v>
      </c>
      <c r="G498">
        <v>75923</v>
      </c>
      <c r="H498">
        <v>40537</v>
      </c>
      <c r="I498">
        <v>44916</v>
      </c>
      <c r="J498">
        <v>57808</v>
      </c>
    </row>
    <row r="499" spans="1:10" x14ac:dyDescent="0.35">
      <c r="A499">
        <v>598</v>
      </c>
      <c r="B499" t="s">
        <v>143</v>
      </c>
      <c r="C499" t="s">
        <v>32</v>
      </c>
      <c r="D499" t="s">
        <v>43</v>
      </c>
      <c r="E499" t="s">
        <v>820</v>
      </c>
      <c r="F499" t="s">
        <v>1158</v>
      </c>
      <c r="G499">
        <v>40704</v>
      </c>
      <c r="H499">
        <v>29483</v>
      </c>
      <c r="I499">
        <v>73487</v>
      </c>
      <c r="J499">
        <v>39452</v>
      </c>
    </row>
    <row r="500" spans="1:10" x14ac:dyDescent="0.35">
      <c r="A500">
        <v>599</v>
      </c>
      <c r="B500" t="s">
        <v>464</v>
      </c>
      <c r="C500" t="s">
        <v>39</v>
      </c>
      <c r="D500" t="s">
        <v>12</v>
      </c>
      <c r="E500" t="s">
        <v>1159</v>
      </c>
      <c r="F500" t="s">
        <v>1160</v>
      </c>
      <c r="G500">
        <v>66146</v>
      </c>
      <c r="H500">
        <v>44687</v>
      </c>
      <c r="I500">
        <v>23854</v>
      </c>
      <c r="J500">
        <v>73097</v>
      </c>
    </row>
    <row r="501" spans="1:10" x14ac:dyDescent="0.35">
      <c r="A501">
        <v>600</v>
      </c>
      <c r="B501" t="s">
        <v>550</v>
      </c>
      <c r="C501" t="s">
        <v>27</v>
      </c>
      <c r="D501" t="s">
        <v>43</v>
      </c>
      <c r="E501" t="s">
        <v>982</v>
      </c>
      <c r="F501" t="s">
        <v>1161</v>
      </c>
      <c r="G501">
        <v>42112</v>
      </c>
      <c r="H501">
        <v>47684</v>
      </c>
      <c r="I501">
        <v>64426</v>
      </c>
      <c r="J501">
        <v>51026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2"/>
  <sheetViews>
    <sheetView tabSelected="1" zoomScale="90" zoomScaleNormal="90" workbookViewId="0">
      <selection activeCell="F1" sqref="F1:F1048576"/>
    </sheetView>
  </sheetViews>
  <sheetFormatPr defaultRowHeight="14.5" x14ac:dyDescent="0.35"/>
  <cols>
    <col min="1" max="1" width="15.81640625" bestFit="1" customWidth="1"/>
    <col min="2" max="2" width="17.26953125" bestFit="1" customWidth="1"/>
    <col min="3" max="3" width="13.1796875" customWidth="1"/>
    <col min="4" max="4" width="11" bestFit="1" customWidth="1"/>
    <col min="5" max="5" width="31.7265625" bestFit="1" customWidth="1"/>
    <col min="6" max="6" width="18.453125" bestFit="1" customWidth="1"/>
    <col min="7" max="10" width="13.81640625" style="8" bestFit="1" customWidth="1"/>
    <col min="11" max="11" width="24.453125" style="8" customWidth="1"/>
    <col min="12" max="12" width="21.453125" bestFit="1" customWidth="1"/>
    <col min="13" max="13" width="22.54296875" bestFit="1" customWidth="1"/>
    <col min="15" max="15" width="21.54296875" customWidth="1"/>
    <col min="16" max="16" width="24" customWidth="1"/>
    <col min="17" max="17" width="26" bestFit="1" customWidth="1"/>
    <col min="18" max="18" width="26" customWidth="1"/>
  </cols>
  <sheetData>
    <row r="1" spans="1:17" x14ac:dyDescent="0.35">
      <c r="A1" s="1" t="s">
        <v>0</v>
      </c>
      <c r="B1" s="1" t="s">
        <v>1</v>
      </c>
      <c r="C1" s="1" t="s">
        <v>2</v>
      </c>
      <c r="D1" s="1" t="s">
        <v>3</v>
      </c>
      <c r="E1" s="1" t="s">
        <v>4</v>
      </c>
      <c r="F1" s="1" t="s">
        <v>5</v>
      </c>
      <c r="G1" s="7" t="s">
        <v>6</v>
      </c>
      <c r="H1" s="7" t="s">
        <v>7</v>
      </c>
      <c r="I1" s="7" t="s">
        <v>8</v>
      </c>
      <c r="J1" s="7" t="s">
        <v>9</v>
      </c>
      <c r="K1" s="7" t="s">
        <v>1162</v>
      </c>
      <c r="L1" s="1" t="s">
        <v>1163</v>
      </c>
      <c r="M1" s="1" t="s">
        <v>1164</v>
      </c>
    </row>
    <row r="2" spans="1:17" x14ac:dyDescent="0.35">
      <c r="A2">
        <v>290</v>
      </c>
      <c r="B2" t="s">
        <v>481</v>
      </c>
      <c r="C2" t="s">
        <v>27</v>
      </c>
      <c r="D2" t="s">
        <v>20</v>
      </c>
      <c r="E2" s="14" t="s">
        <v>482</v>
      </c>
      <c r="F2" t="s">
        <v>1165</v>
      </c>
      <c r="G2" s="8">
        <v>79690</v>
      </c>
      <c r="H2" s="8">
        <v>67651</v>
      </c>
      <c r="I2" s="8">
        <v>79911</v>
      </c>
      <c r="J2" s="9">
        <v>72910</v>
      </c>
      <c r="K2" s="8">
        <f>SUM(Table1[[#This Row],[Sales (Q1)]:[Sales (Q4)]])</f>
        <v>300162</v>
      </c>
      <c r="L2" s="2" t="str">
        <f>IF(Table1[[#This Row],[Employee Total Sales]]&gt;=200000,"High Performer",IF(Table1[[#This Row],[Employee Total Sales]]&gt;=180000,"Mid Performer","Low Performer"))</f>
        <v>High Performer</v>
      </c>
      <c r="M2" s="2" t="str">
        <f>IF(Table1[[#This Row],[Sales Performance]]="High Performer","Eligible for Promotion",IF(Table1[[#This Row],[Sales Performance]]="Low Performer","Review Cause Effect","Room For Growth"))</f>
        <v>Eligible for Promotion</v>
      </c>
      <c r="O2" s="4" t="s">
        <v>1166</v>
      </c>
    </row>
    <row r="3" spans="1:17" x14ac:dyDescent="0.35">
      <c r="A3">
        <v>215</v>
      </c>
      <c r="B3" t="s">
        <v>342</v>
      </c>
      <c r="C3" t="s">
        <v>32</v>
      </c>
      <c r="D3" t="s">
        <v>28</v>
      </c>
      <c r="E3" s="14" t="s">
        <v>343</v>
      </c>
      <c r="F3" t="s">
        <v>1167</v>
      </c>
      <c r="G3" s="8">
        <v>78662</v>
      </c>
      <c r="H3" s="8">
        <v>78182</v>
      </c>
      <c r="I3" s="8">
        <v>66108</v>
      </c>
      <c r="J3" s="9">
        <v>70452</v>
      </c>
      <c r="K3" s="8">
        <f>SUM(Table1[[#This Row],[Sales (Q1)]:[Sales (Q4)]])</f>
        <v>293404</v>
      </c>
      <c r="L3" s="2" t="str">
        <f>IF(Table1[[#This Row],[Employee Total Sales]]&gt;=200000,"High Performer",IF(Table1[[#This Row],[Employee Total Sales]]&gt;=180000,"Mid Performer","Low Performer"))</f>
        <v>High Performer</v>
      </c>
      <c r="M3" s="2" t="str">
        <f>IF(Table1[[#This Row],[Sales Performance]]="High Performer","Eligible for Promotion",IF(Table1[[#This Row],[Sales Performance]]="Low Performer","Review Cause Effect","Room For Growth"))</f>
        <v>Eligible for Promotion</v>
      </c>
    </row>
    <row r="4" spans="1:17" x14ac:dyDescent="0.35">
      <c r="A4">
        <v>449</v>
      </c>
      <c r="B4" t="s">
        <v>15</v>
      </c>
      <c r="C4" t="s">
        <v>32</v>
      </c>
      <c r="D4" t="s">
        <v>43</v>
      </c>
      <c r="E4" s="14" t="s">
        <v>1699</v>
      </c>
      <c r="F4" t="s">
        <v>1168</v>
      </c>
      <c r="G4" s="8">
        <v>73065</v>
      </c>
      <c r="H4" s="8">
        <v>72298</v>
      </c>
      <c r="I4" s="8">
        <v>65655</v>
      </c>
      <c r="J4" s="9">
        <v>73824</v>
      </c>
      <c r="K4" s="8">
        <f>SUM(Table1[[#This Row],[Sales (Q1)]:[Sales (Q4)]])</f>
        <v>284842</v>
      </c>
      <c r="L4" s="2" t="str">
        <f>IF(Table1[[#This Row],[Employee Total Sales]]&gt;=200000,"High Performer",IF(Table1[[#This Row],[Employee Total Sales]]&gt;=180000,"Mid Performer","Low Performer"))</f>
        <v>High Performer</v>
      </c>
      <c r="M4" s="2" t="str">
        <f>IF(Table1[[#This Row],[Sales Performance]]="High Performer","Eligible for Promotion",IF(Table1[[#This Row],[Sales Performance]]="Low Performer","Review Cause Effect","Room For Growth"))</f>
        <v>Eligible for Promotion</v>
      </c>
      <c r="O4" t="s">
        <v>1169</v>
      </c>
    </row>
    <row r="5" spans="1:17" x14ac:dyDescent="0.35">
      <c r="A5">
        <v>237</v>
      </c>
      <c r="B5" t="s">
        <v>83</v>
      </c>
      <c r="C5" t="s">
        <v>55</v>
      </c>
      <c r="D5" t="s">
        <v>28</v>
      </c>
      <c r="E5" s="14" t="s">
        <v>84</v>
      </c>
      <c r="F5" t="s">
        <v>1170</v>
      </c>
      <c r="G5" s="8">
        <v>67503</v>
      </c>
      <c r="H5" s="8">
        <v>79056</v>
      </c>
      <c r="I5" s="8">
        <v>56669</v>
      </c>
      <c r="J5" s="9">
        <v>79323</v>
      </c>
      <c r="K5" s="8">
        <f>SUM(Table1[[#This Row],[Sales (Q1)]:[Sales (Q4)]])</f>
        <v>282551</v>
      </c>
      <c r="L5" s="2" t="str">
        <f>IF(Table1[[#This Row],[Employee Total Sales]]&gt;=200000,"High Performer",IF(Table1[[#This Row],[Employee Total Sales]]&gt;=180000,"Mid Performer","Low Performer"))</f>
        <v>High Performer</v>
      </c>
      <c r="M5" s="2" t="str">
        <f>IF(Table1[[#This Row],[Sales Performance]]="High Performer","Eligible for Promotion",IF(Table1[[#This Row],[Sales Performance]]="Low Performer","Review Cause Effect","Room For Growth"))</f>
        <v>Eligible for Promotion</v>
      </c>
      <c r="O5" t="s">
        <v>152</v>
      </c>
    </row>
    <row r="6" spans="1:17" x14ac:dyDescent="0.35">
      <c r="A6">
        <v>156</v>
      </c>
      <c r="B6" t="s">
        <v>178</v>
      </c>
      <c r="C6" t="s">
        <v>27</v>
      </c>
      <c r="D6" t="s">
        <v>20</v>
      </c>
      <c r="E6" s="14" t="s">
        <v>179</v>
      </c>
      <c r="F6" t="s">
        <v>1171</v>
      </c>
      <c r="G6" s="8">
        <v>76693</v>
      </c>
      <c r="H6" s="8">
        <v>64944</v>
      </c>
      <c r="I6" s="8">
        <v>71007</v>
      </c>
      <c r="J6" s="9">
        <v>68802</v>
      </c>
      <c r="K6" s="8">
        <f>SUM(Table1[[#This Row],[Sales (Q1)]:[Sales (Q4)]])</f>
        <v>281446</v>
      </c>
      <c r="L6" s="2" t="str">
        <f>IF(Table1[[#This Row],[Employee Total Sales]]&gt;=200000,"High Performer",IF(Table1[[#This Row],[Employee Total Sales]]&gt;=180000,"Mid Performer","Low Performer"))</f>
        <v>High Performer</v>
      </c>
      <c r="M6" s="2" t="str">
        <f>IF(Table1[[#This Row],[Sales Performance]]="High Performer","Eligible for Promotion",IF(Table1[[#This Row],[Sales Performance]]="Low Performer","Review Cause Effect","Room For Growth"))</f>
        <v>Eligible for Promotion</v>
      </c>
    </row>
    <row r="7" spans="1:17" x14ac:dyDescent="0.35">
      <c r="A7">
        <v>166</v>
      </c>
      <c r="B7" t="s">
        <v>1697</v>
      </c>
      <c r="C7" t="s">
        <v>39</v>
      </c>
      <c r="D7" t="s">
        <v>12</v>
      </c>
      <c r="E7" s="14" t="s">
        <v>1700</v>
      </c>
      <c r="F7" t="s">
        <v>1172</v>
      </c>
      <c r="G7" s="8">
        <v>75888</v>
      </c>
      <c r="H7" s="8">
        <v>62907</v>
      </c>
      <c r="I7" s="8">
        <v>62658</v>
      </c>
      <c r="J7" s="9">
        <v>77521</v>
      </c>
      <c r="K7" s="8">
        <f>SUM(Table1[[#This Row],[Sales (Q1)]:[Sales (Q4)]])</f>
        <v>278974</v>
      </c>
      <c r="L7" s="2" t="str">
        <f>IF(Table1[[#This Row],[Employee Total Sales]]&gt;=200000,"High Performer",IF(Table1[[#This Row],[Employee Total Sales]]&gt;=180000,"Mid Performer","Low Performer"))</f>
        <v>High Performer</v>
      </c>
      <c r="M7" s="2" t="str">
        <f>IF(Table1[[#This Row],[Sales Performance]]="High Performer","Eligible for Promotion",IF(Table1[[#This Row],[Sales Performance]]="Low Performer","Review Cause Effect","Room For Growth"))</f>
        <v>Eligible for Promotion</v>
      </c>
    </row>
    <row r="8" spans="1:17" x14ac:dyDescent="0.35">
      <c r="A8">
        <v>366</v>
      </c>
      <c r="B8" t="s">
        <v>209</v>
      </c>
      <c r="C8" t="s">
        <v>32</v>
      </c>
      <c r="D8" t="s">
        <v>20</v>
      </c>
      <c r="E8" s="14" t="s">
        <v>1173</v>
      </c>
      <c r="F8" t="s">
        <v>696</v>
      </c>
      <c r="G8" s="8">
        <v>53856</v>
      </c>
      <c r="H8" s="8">
        <v>70104</v>
      </c>
      <c r="I8" s="8">
        <v>72426</v>
      </c>
      <c r="J8" s="9">
        <v>79634</v>
      </c>
      <c r="K8" s="8">
        <f>SUM(Table1[[#This Row],[Sales (Q1)]:[Sales (Q4)]])</f>
        <v>276020</v>
      </c>
      <c r="L8" s="2" t="str">
        <f>IF(Table1[[#This Row],[Employee Total Sales]]&gt;=200000,"High Performer",IF(Table1[[#This Row],[Employee Total Sales]]&gt;=180000,"Mid Performer","Low Performer"))</f>
        <v>High Performer</v>
      </c>
      <c r="M8" s="2" t="str">
        <f>IF(Table1[[#This Row],[Sales Performance]]="High Performer","Eligible for Promotion",IF(Table1[[#This Row],[Sales Performance]]="Low Performer","Review Cause Effect","Room For Growth"))</f>
        <v>Eligible for Promotion</v>
      </c>
      <c r="O8" t="s">
        <v>2</v>
      </c>
      <c r="P8" t="s">
        <v>3</v>
      </c>
      <c r="Q8" t="s">
        <v>1174</v>
      </c>
    </row>
    <row r="9" spans="1:17" x14ac:dyDescent="0.35">
      <c r="A9">
        <v>431</v>
      </c>
      <c r="B9" t="s">
        <v>831</v>
      </c>
      <c r="C9" t="s">
        <v>55</v>
      </c>
      <c r="D9" t="s">
        <v>28</v>
      </c>
      <c r="E9" s="14" t="s">
        <v>1175</v>
      </c>
      <c r="F9" t="s">
        <v>1176</v>
      </c>
      <c r="G9" s="8">
        <v>58937</v>
      </c>
      <c r="H9" s="8">
        <v>63031</v>
      </c>
      <c r="I9" s="8">
        <v>78587</v>
      </c>
      <c r="J9" s="9">
        <v>74752</v>
      </c>
      <c r="K9" s="8">
        <f>SUM(Table1[[#This Row],[Sales (Q1)]:[Sales (Q4)]])</f>
        <v>275307</v>
      </c>
      <c r="L9" s="2" t="str">
        <f>IF(Table1[[#This Row],[Employee Total Sales]]&gt;=200000,"High Performer",IF(Table1[[#This Row],[Employee Total Sales]]&gt;=180000,"Mid Performer","Low Performer"))</f>
        <v>High Performer</v>
      </c>
      <c r="M9" s="2" t="str">
        <f>IF(Table1[[#This Row],[Sales Performance]]="High Performer","Eligible for Promotion",IF(Table1[[#This Row],[Sales Performance]]="Low Performer","Review Cause Effect","Room For Growth"))</f>
        <v>Eligible for Promotion</v>
      </c>
      <c r="O9" t="str" cm="1">
        <f t="array" ref="O9">_xlfn.XLOOKUP(O5,Name,C2:C501,)</f>
        <v>Marketing</v>
      </c>
      <c r="P9" t="str" cm="1">
        <f t="array" ref="P9">_xlfn.XLOOKUP(Table3[Employee],Name,D2:D501,)</f>
        <v>South</v>
      </c>
      <c r="Q9" s="3" cm="1">
        <f t="array" ref="Q9">_xlfn.XLOOKUP(Table3[Employee],Name,K2:K501,)</f>
        <v>252824</v>
      </c>
    </row>
    <row r="10" spans="1:17" x14ac:dyDescent="0.35">
      <c r="A10">
        <v>390</v>
      </c>
      <c r="B10" t="s">
        <v>277</v>
      </c>
      <c r="C10" t="s">
        <v>16</v>
      </c>
      <c r="D10" t="s">
        <v>20</v>
      </c>
      <c r="E10" s="14" t="s">
        <v>1177</v>
      </c>
      <c r="F10" t="s">
        <v>1178</v>
      </c>
      <c r="G10" s="8">
        <v>77584</v>
      </c>
      <c r="H10" s="8">
        <v>45373</v>
      </c>
      <c r="I10" s="8">
        <v>78353</v>
      </c>
      <c r="J10" s="9">
        <v>73402</v>
      </c>
      <c r="K10" s="8">
        <f>SUM(Table1[[#This Row],[Sales (Q1)]:[Sales (Q4)]])</f>
        <v>274712</v>
      </c>
      <c r="L10" s="2" t="str">
        <f>IF(Table1[[#This Row],[Employee Total Sales]]&gt;=200000,"High Performer",IF(Table1[[#This Row],[Employee Total Sales]]&gt;=180000,"Mid Performer","Low Performer"))</f>
        <v>High Performer</v>
      </c>
      <c r="M10" s="2" t="str">
        <f>IF(Table1[[#This Row],[Sales Performance]]="High Performer","Eligible for Promotion",IF(Table1[[#This Row],[Sales Performance]]="Low Performer","Review Cause Effect","Room For Growth"))</f>
        <v>Eligible for Promotion</v>
      </c>
    </row>
    <row r="11" spans="1:17" x14ac:dyDescent="0.35">
      <c r="A11">
        <v>151</v>
      </c>
      <c r="B11" t="s">
        <v>165</v>
      </c>
      <c r="C11" t="s">
        <v>111</v>
      </c>
      <c r="D11" t="s">
        <v>43</v>
      </c>
      <c r="E11" s="14" t="s">
        <v>1179</v>
      </c>
      <c r="F11" t="s">
        <v>1180</v>
      </c>
      <c r="G11" s="8">
        <v>63495</v>
      </c>
      <c r="H11" s="8">
        <v>71930</v>
      </c>
      <c r="I11" s="8">
        <v>73788</v>
      </c>
      <c r="J11" s="9">
        <v>62730</v>
      </c>
      <c r="K11" s="8">
        <f>SUM(Table1[[#This Row],[Sales (Q1)]:[Sales (Q4)]])</f>
        <v>271943</v>
      </c>
      <c r="L11" s="2" t="str">
        <f>IF(Table1[[#This Row],[Employee Total Sales]]&gt;=200000,"High Performer",IF(Table1[[#This Row],[Employee Total Sales]]&gt;=180000,"Mid Performer","Low Performer"))</f>
        <v>High Performer</v>
      </c>
      <c r="M11" s="2" t="str">
        <f>IF(Table1[[#This Row],[Sales Performance]]="High Performer","Eligible for Promotion",IF(Table1[[#This Row],[Sales Performance]]="Low Performer","Review Cause Effect","Room For Growth"))</f>
        <v>Eligible for Promotion</v>
      </c>
    </row>
    <row r="12" spans="1:17" x14ac:dyDescent="0.35">
      <c r="A12">
        <v>533</v>
      </c>
      <c r="B12" t="s">
        <v>1038</v>
      </c>
      <c r="C12" t="s">
        <v>39</v>
      </c>
      <c r="D12" t="s">
        <v>20</v>
      </c>
      <c r="E12" s="14" t="s">
        <v>1039</v>
      </c>
      <c r="F12" t="s">
        <v>1181</v>
      </c>
      <c r="G12" s="8">
        <v>61294</v>
      </c>
      <c r="H12" s="8">
        <v>72177</v>
      </c>
      <c r="I12" s="8">
        <v>70567</v>
      </c>
      <c r="J12" s="9">
        <v>66360</v>
      </c>
      <c r="K12" s="8">
        <f>SUM(Table1[[#This Row],[Sales (Q1)]:[Sales (Q4)]])</f>
        <v>270398</v>
      </c>
      <c r="L12" s="2" t="str">
        <f>IF(Table1[[#This Row],[Employee Total Sales]]&gt;=200000,"High Performer",IF(Table1[[#This Row],[Employee Total Sales]]&gt;=180000,"Mid Performer","Low Performer"))</f>
        <v>High Performer</v>
      </c>
      <c r="M12" s="2" t="str">
        <f>IF(Table1[[#This Row],[Sales Performance]]="High Performer","Eligible for Promotion",IF(Table1[[#This Row],[Sales Performance]]="Low Performer","Review Cause Effect","Room For Growth"))</f>
        <v>Eligible for Promotion</v>
      </c>
    </row>
    <row r="13" spans="1:17" x14ac:dyDescent="0.35">
      <c r="A13">
        <v>216</v>
      </c>
      <c r="B13" t="s">
        <v>345</v>
      </c>
      <c r="C13" t="s">
        <v>111</v>
      </c>
      <c r="D13" t="s">
        <v>43</v>
      </c>
      <c r="E13" s="14" t="s">
        <v>346</v>
      </c>
      <c r="F13" t="s">
        <v>347</v>
      </c>
      <c r="G13" s="8">
        <v>64586</v>
      </c>
      <c r="H13" s="8">
        <v>69462</v>
      </c>
      <c r="I13" s="8">
        <v>59047</v>
      </c>
      <c r="J13" s="9">
        <v>77221</v>
      </c>
      <c r="K13" s="8">
        <f>SUM(Table1[[#This Row],[Sales (Q1)]:[Sales (Q4)]])</f>
        <v>270316</v>
      </c>
      <c r="L13" s="2" t="str">
        <f>IF(Table1[[#This Row],[Employee Total Sales]]&gt;=200000,"High Performer",IF(Table1[[#This Row],[Employee Total Sales]]&gt;=180000,"Mid Performer","Low Performer"))</f>
        <v>High Performer</v>
      </c>
      <c r="M13" s="2" t="str">
        <f>IF(Table1[[#This Row],[Sales Performance]]="High Performer","Eligible for Promotion",IF(Table1[[#This Row],[Sales Performance]]="Low Performer","Review Cause Effect","Room For Growth"))</f>
        <v>Eligible for Promotion</v>
      </c>
    </row>
    <row r="14" spans="1:17" x14ac:dyDescent="0.35">
      <c r="A14">
        <v>225</v>
      </c>
      <c r="B14" t="s">
        <v>69</v>
      </c>
      <c r="C14" t="s">
        <v>11</v>
      </c>
      <c r="D14" t="s">
        <v>28</v>
      </c>
      <c r="E14" s="14" t="s">
        <v>1182</v>
      </c>
      <c r="F14" t="s">
        <v>366</v>
      </c>
      <c r="G14" s="8">
        <v>72733</v>
      </c>
      <c r="H14" s="8">
        <v>69918</v>
      </c>
      <c r="I14" s="8">
        <v>58507</v>
      </c>
      <c r="J14" s="9">
        <v>67468</v>
      </c>
      <c r="K14" s="8">
        <f>SUM(Table1[[#This Row],[Sales (Q1)]:[Sales (Q4)]])</f>
        <v>268626</v>
      </c>
      <c r="L14" s="2" t="str">
        <f>IF(Table1[[#This Row],[Employee Total Sales]]&gt;=200000,"High Performer",IF(Table1[[#This Row],[Employee Total Sales]]&gt;=180000,"Mid Performer","Low Performer"))</f>
        <v>High Performer</v>
      </c>
      <c r="M14" s="2" t="str">
        <f>IF(Table1[[#This Row],[Sales Performance]]="High Performer","Eligible for Promotion",IF(Table1[[#This Row],[Sales Performance]]="Low Performer","Review Cause Effect","Room For Growth"))</f>
        <v>Eligible for Promotion</v>
      </c>
    </row>
    <row r="15" spans="1:17" x14ac:dyDescent="0.35">
      <c r="A15">
        <v>173</v>
      </c>
      <c r="B15" t="s">
        <v>215</v>
      </c>
      <c r="C15" t="s">
        <v>27</v>
      </c>
      <c r="D15" t="s">
        <v>12</v>
      </c>
      <c r="E15" s="14" t="s">
        <v>225</v>
      </c>
      <c r="F15" t="s">
        <v>1183</v>
      </c>
      <c r="G15" s="8">
        <v>56616</v>
      </c>
      <c r="H15" s="8">
        <v>74614</v>
      </c>
      <c r="I15" s="8">
        <v>63781</v>
      </c>
      <c r="J15" s="9">
        <v>72835</v>
      </c>
      <c r="K15" s="8">
        <f>SUM(Table1[[#This Row],[Sales (Q1)]:[Sales (Q4)]])</f>
        <v>267846</v>
      </c>
      <c r="L15" s="2" t="str">
        <f>IF(Table1[[#This Row],[Employee Total Sales]]&gt;=200000,"High Performer",IF(Table1[[#This Row],[Employee Total Sales]]&gt;=180000,"Mid Performer","Low Performer"))</f>
        <v>High Performer</v>
      </c>
      <c r="M15" s="2" t="str">
        <f>IF(Table1[[#This Row],[Sales Performance]]="High Performer","Eligible for Promotion",IF(Table1[[#This Row],[Sales Performance]]="Low Performer","Review Cause Effect","Room For Growth"))</f>
        <v>Eligible for Promotion</v>
      </c>
    </row>
    <row r="16" spans="1:17" x14ac:dyDescent="0.35">
      <c r="A16">
        <v>298</v>
      </c>
      <c r="B16" t="s">
        <v>242</v>
      </c>
      <c r="C16" t="s">
        <v>16</v>
      </c>
      <c r="D16" t="s">
        <v>20</v>
      </c>
      <c r="E16" s="14" t="s">
        <v>243</v>
      </c>
      <c r="F16" t="s">
        <v>1184</v>
      </c>
      <c r="G16" s="8">
        <v>53522</v>
      </c>
      <c r="H16" s="8">
        <v>63408</v>
      </c>
      <c r="I16" s="8">
        <v>75265</v>
      </c>
      <c r="J16" s="9">
        <v>75009</v>
      </c>
      <c r="K16" s="8">
        <f>SUM(Table1[[#This Row],[Sales (Q1)]:[Sales (Q4)]])</f>
        <v>267204</v>
      </c>
      <c r="L16" s="2" t="str">
        <f>IF(Table1[[#This Row],[Employee Total Sales]]&gt;=200000,"High Performer",IF(Table1[[#This Row],[Employee Total Sales]]&gt;=180000,"Mid Performer","Low Performer"))</f>
        <v>High Performer</v>
      </c>
      <c r="M16" s="2" t="str">
        <f>IF(Table1[[#This Row],[Sales Performance]]="High Performer","Eligible for Promotion",IF(Table1[[#This Row],[Sales Performance]]="Low Performer","Review Cause Effect","Room For Growth"))</f>
        <v>Eligible for Promotion</v>
      </c>
    </row>
    <row r="17" spans="1:13" x14ac:dyDescent="0.35">
      <c r="A17">
        <v>281</v>
      </c>
      <c r="B17" t="s">
        <v>265</v>
      </c>
      <c r="C17" t="s">
        <v>111</v>
      </c>
      <c r="D17" t="s">
        <v>20</v>
      </c>
      <c r="E17" s="14" t="s">
        <v>1698</v>
      </c>
      <c r="F17" t="s">
        <v>503</v>
      </c>
      <c r="G17" s="8">
        <v>66345</v>
      </c>
      <c r="H17" s="8">
        <v>56829</v>
      </c>
      <c r="I17" s="8">
        <v>65453</v>
      </c>
      <c r="J17" s="9">
        <v>78300</v>
      </c>
      <c r="K17" s="8">
        <f>SUM(Table1[[#This Row],[Sales (Q1)]:[Sales (Q4)]])</f>
        <v>266927</v>
      </c>
      <c r="L17" s="2" t="str">
        <f>IF(Table1[[#This Row],[Employee Total Sales]]&gt;=200000,"High Performer",IF(Table1[[#This Row],[Employee Total Sales]]&gt;=180000,"Mid Performer","Low Performer"))</f>
        <v>High Performer</v>
      </c>
      <c r="M17" s="2" t="str">
        <f>IF(Table1[[#This Row],[Sales Performance]]="High Performer","Eligible for Promotion",IF(Table1[[#This Row],[Sales Performance]]="Low Performer","Review Cause Effect","Room For Growth"))</f>
        <v>Eligible for Promotion</v>
      </c>
    </row>
    <row r="18" spans="1:13" x14ac:dyDescent="0.35">
      <c r="A18">
        <v>276</v>
      </c>
      <c r="B18" t="s">
        <v>490</v>
      </c>
      <c r="C18" t="s">
        <v>32</v>
      </c>
      <c r="D18" t="s">
        <v>43</v>
      </c>
      <c r="E18" s="14" t="s">
        <v>1185</v>
      </c>
      <c r="F18" t="s">
        <v>492</v>
      </c>
      <c r="G18" s="8">
        <v>62116</v>
      </c>
      <c r="H18" s="8">
        <v>77976</v>
      </c>
      <c r="I18" s="8">
        <v>72245</v>
      </c>
      <c r="J18" s="9">
        <v>54459</v>
      </c>
      <c r="K18" s="8">
        <f>SUM(Table1[[#This Row],[Sales (Q1)]:[Sales (Q4)]])</f>
        <v>266796</v>
      </c>
      <c r="L18" s="2" t="str">
        <f>IF(Table1[[#This Row],[Employee Total Sales]]&gt;=200000,"High Performer",IF(Table1[[#This Row],[Employee Total Sales]]&gt;=180000,"Mid Performer","Low Performer"))</f>
        <v>High Performer</v>
      </c>
      <c r="M18" s="2" t="str">
        <f>IF(Table1[[#This Row],[Sales Performance]]="High Performer","Eligible for Promotion",IF(Table1[[#This Row],[Sales Performance]]="Low Performer","Review Cause Effect","Room For Growth"))</f>
        <v>Eligible for Promotion</v>
      </c>
    </row>
    <row r="19" spans="1:13" x14ac:dyDescent="0.35">
      <c r="A19">
        <v>489</v>
      </c>
      <c r="B19" t="s">
        <v>342</v>
      </c>
      <c r="C19" t="s">
        <v>27</v>
      </c>
      <c r="D19" t="s">
        <v>28</v>
      </c>
      <c r="E19" s="14" t="s">
        <v>1186</v>
      </c>
      <c r="F19" t="s">
        <v>1187</v>
      </c>
      <c r="G19" s="8">
        <v>63530</v>
      </c>
      <c r="H19" s="8">
        <v>74328</v>
      </c>
      <c r="I19" s="8">
        <v>58038</v>
      </c>
      <c r="J19" s="9">
        <v>70797</v>
      </c>
      <c r="K19" s="8">
        <f>SUM(Table1[[#This Row],[Sales (Q1)]:[Sales (Q4)]])</f>
        <v>266693</v>
      </c>
      <c r="L19" s="2" t="str">
        <f>IF(Table1[[#This Row],[Employee Total Sales]]&gt;=200000,"High Performer",IF(Table1[[#This Row],[Employee Total Sales]]&gt;=180000,"Mid Performer","Low Performer"))</f>
        <v>High Performer</v>
      </c>
      <c r="M19" s="2" t="str">
        <f>IF(Table1[[#This Row],[Sales Performance]]="High Performer","Eligible for Promotion",IF(Table1[[#This Row],[Sales Performance]]="Low Performer","Review Cause Effect","Room For Growth"))</f>
        <v>Eligible for Promotion</v>
      </c>
    </row>
    <row r="20" spans="1:13" x14ac:dyDescent="0.35">
      <c r="A20">
        <v>524</v>
      </c>
      <c r="B20" t="s">
        <v>1018</v>
      </c>
      <c r="C20" t="s">
        <v>16</v>
      </c>
      <c r="D20" t="s">
        <v>20</v>
      </c>
      <c r="E20" s="14" t="s">
        <v>1188</v>
      </c>
      <c r="F20" t="s">
        <v>1020</v>
      </c>
      <c r="G20" s="8">
        <v>78168</v>
      </c>
      <c r="H20" s="8">
        <v>55679</v>
      </c>
      <c r="I20" s="8">
        <v>60918</v>
      </c>
      <c r="J20" s="9">
        <v>71664</v>
      </c>
      <c r="K20" s="8">
        <f>SUM(Table1[[#This Row],[Sales (Q1)]:[Sales (Q4)]])</f>
        <v>266429</v>
      </c>
      <c r="L20" s="2" t="str">
        <f>IF(Table1[[#This Row],[Employee Total Sales]]&gt;=200000,"High Performer",IF(Table1[[#This Row],[Employee Total Sales]]&gt;=180000,"Mid Performer","Low Performer"))</f>
        <v>High Performer</v>
      </c>
      <c r="M20" s="2" t="str">
        <f>IF(Table1[[#This Row],[Sales Performance]]="High Performer","Eligible for Promotion",IF(Table1[[#This Row],[Sales Performance]]="Low Performer","Review Cause Effect","Room For Growth"))</f>
        <v>Eligible for Promotion</v>
      </c>
    </row>
    <row r="21" spans="1:13" x14ac:dyDescent="0.35">
      <c r="A21">
        <v>169</v>
      </c>
      <c r="B21" t="s">
        <v>215</v>
      </c>
      <c r="C21" t="s">
        <v>11</v>
      </c>
      <c r="D21" t="s">
        <v>20</v>
      </c>
      <c r="E21" s="14" t="s">
        <v>216</v>
      </c>
      <c r="F21" t="s">
        <v>1189</v>
      </c>
      <c r="G21" s="8">
        <v>70294</v>
      </c>
      <c r="H21" s="8">
        <v>73636</v>
      </c>
      <c r="I21" s="8">
        <v>60745</v>
      </c>
      <c r="J21" s="9">
        <v>60211</v>
      </c>
      <c r="K21" s="8">
        <f>SUM(Table1[[#This Row],[Sales (Q1)]:[Sales (Q4)]])</f>
        <v>264886</v>
      </c>
      <c r="L21" s="2" t="str">
        <f>IF(Table1[[#This Row],[Employee Total Sales]]&gt;=200000,"High Performer",IF(Table1[[#This Row],[Employee Total Sales]]&gt;=180000,"Mid Performer","Low Performer"))</f>
        <v>High Performer</v>
      </c>
      <c r="M21" s="2" t="str">
        <f>IF(Table1[[#This Row],[Sales Performance]]="High Performer","Eligible for Promotion",IF(Table1[[#This Row],[Sales Performance]]="Low Performer","Review Cause Effect","Room For Growth"))</f>
        <v>Eligible for Promotion</v>
      </c>
    </row>
    <row r="22" spans="1:13" x14ac:dyDescent="0.35">
      <c r="A22">
        <v>574</v>
      </c>
      <c r="B22" t="s">
        <v>804</v>
      </c>
      <c r="C22" t="s">
        <v>11</v>
      </c>
      <c r="D22" t="s">
        <v>28</v>
      </c>
      <c r="E22" s="14" t="s">
        <v>805</v>
      </c>
      <c r="F22" t="s">
        <v>1190</v>
      </c>
      <c r="G22" s="8">
        <v>74820</v>
      </c>
      <c r="H22" s="8">
        <v>61601</v>
      </c>
      <c r="I22" s="8">
        <v>73183</v>
      </c>
      <c r="J22" s="9">
        <v>54267</v>
      </c>
      <c r="K22" s="8">
        <f>SUM(Table1[[#This Row],[Sales (Q1)]:[Sales (Q4)]])</f>
        <v>263871</v>
      </c>
      <c r="L22" s="2" t="str">
        <f>IF(Table1[[#This Row],[Employee Total Sales]]&gt;=200000,"High Performer",IF(Table1[[#This Row],[Employee Total Sales]]&gt;=180000,"Mid Performer","Low Performer"))</f>
        <v>High Performer</v>
      </c>
      <c r="M22" s="2" t="str">
        <f>IF(Table1[[#This Row],[Sales Performance]]="High Performer","Eligible for Promotion",IF(Table1[[#This Row],[Sales Performance]]="Low Performer","Review Cause Effect","Room For Growth"))</f>
        <v>Eligible for Promotion</v>
      </c>
    </row>
    <row r="23" spans="1:13" x14ac:dyDescent="0.35">
      <c r="A23">
        <v>432</v>
      </c>
      <c r="B23" t="s">
        <v>193</v>
      </c>
      <c r="C23" t="s">
        <v>55</v>
      </c>
      <c r="D23" t="s">
        <v>43</v>
      </c>
      <c r="E23" s="14" t="s">
        <v>1191</v>
      </c>
      <c r="F23" t="s">
        <v>1192</v>
      </c>
      <c r="G23" s="8">
        <v>70420</v>
      </c>
      <c r="H23" s="8">
        <v>47982</v>
      </c>
      <c r="I23" s="8">
        <v>65365</v>
      </c>
      <c r="J23" s="9">
        <v>79204</v>
      </c>
      <c r="K23" s="8">
        <f>SUM(Table1[[#This Row],[Sales (Q1)]:[Sales (Q4)]])</f>
        <v>262971</v>
      </c>
      <c r="L23" s="2" t="str">
        <f>IF(Table1[[#This Row],[Employee Total Sales]]&gt;=200000,"High Performer",IF(Table1[[#This Row],[Employee Total Sales]]&gt;=180000,"Mid Performer","Low Performer"))</f>
        <v>High Performer</v>
      </c>
      <c r="M23" s="2" t="str">
        <f>IF(Table1[[#This Row],[Sales Performance]]="High Performer","Eligible for Promotion",IF(Table1[[#This Row],[Sales Performance]]="Low Performer","Review Cause Effect","Room For Growth"))</f>
        <v>Eligible for Promotion</v>
      </c>
    </row>
    <row r="24" spans="1:13" x14ac:dyDescent="0.35">
      <c r="A24">
        <v>596</v>
      </c>
      <c r="B24" t="s">
        <v>562</v>
      </c>
      <c r="C24" t="s">
        <v>11</v>
      </c>
      <c r="D24" t="s">
        <v>28</v>
      </c>
      <c r="E24" s="14" t="s">
        <v>1193</v>
      </c>
      <c r="F24" t="s">
        <v>1194</v>
      </c>
      <c r="G24" s="8">
        <v>44707</v>
      </c>
      <c r="H24" s="8">
        <v>79648</v>
      </c>
      <c r="I24" s="8">
        <v>67018</v>
      </c>
      <c r="J24" s="9">
        <v>68691</v>
      </c>
      <c r="K24" s="8">
        <f>SUM(Table1[[#This Row],[Sales (Q1)]:[Sales (Q4)]])</f>
        <v>260064</v>
      </c>
      <c r="L24" s="2" t="str">
        <f>IF(Table1[[#This Row],[Employee Total Sales]]&gt;=200000,"High Performer",IF(Table1[[#This Row],[Employee Total Sales]]&gt;=180000,"Mid Performer","Low Performer"))</f>
        <v>High Performer</v>
      </c>
      <c r="M24" s="2" t="str">
        <f>IF(Table1[[#This Row],[Sales Performance]]="High Performer","Eligible for Promotion",IF(Table1[[#This Row],[Sales Performance]]="Low Performer","Review Cause Effect","Room For Growth"))</f>
        <v>Eligible for Promotion</v>
      </c>
    </row>
    <row r="25" spans="1:13" x14ac:dyDescent="0.35">
      <c r="A25">
        <v>456</v>
      </c>
      <c r="B25" t="s">
        <v>274</v>
      </c>
      <c r="C25" t="s">
        <v>16</v>
      </c>
      <c r="D25" t="s">
        <v>28</v>
      </c>
      <c r="E25" s="14" t="s">
        <v>886</v>
      </c>
      <c r="F25" t="s">
        <v>1195</v>
      </c>
      <c r="G25" s="8">
        <v>63637</v>
      </c>
      <c r="H25" s="8">
        <v>65669</v>
      </c>
      <c r="I25" s="8">
        <v>54744</v>
      </c>
      <c r="J25" s="9">
        <v>75175</v>
      </c>
      <c r="K25" s="8">
        <f>SUM(Table1[[#This Row],[Sales (Q1)]:[Sales (Q4)]])</f>
        <v>259225</v>
      </c>
      <c r="L25" s="2" t="str">
        <f>IF(Table1[[#This Row],[Employee Total Sales]]&gt;=200000,"High Performer",IF(Table1[[#This Row],[Employee Total Sales]]&gt;=180000,"Mid Performer","Low Performer"))</f>
        <v>High Performer</v>
      </c>
      <c r="M25" s="2" t="str">
        <f>IF(Table1[[#This Row],[Sales Performance]]="High Performer","Eligible for Promotion",IF(Table1[[#This Row],[Sales Performance]]="Low Performer","Review Cause Effect","Room For Growth"))</f>
        <v>Eligible for Promotion</v>
      </c>
    </row>
    <row r="26" spans="1:13" x14ac:dyDescent="0.35">
      <c r="A26">
        <v>138</v>
      </c>
      <c r="B26" t="s">
        <v>128</v>
      </c>
      <c r="C26" t="s">
        <v>32</v>
      </c>
      <c r="D26" t="s">
        <v>12</v>
      </c>
      <c r="E26" s="14" t="s">
        <v>1196</v>
      </c>
      <c r="F26" t="s">
        <v>1197</v>
      </c>
      <c r="G26" s="8">
        <v>68685</v>
      </c>
      <c r="H26" s="8">
        <v>55118</v>
      </c>
      <c r="I26" s="8">
        <v>69950</v>
      </c>
      <c r="J26" s="9">
        <v>65230</v>
      </c>
      <c r="K26" s="8">
        <f>SUM(Table1[[#This Row],[Sales (Q1)]:[Sales (Q4)]])</f>
        <v>258983</v>
      </c>
      <c r="L26" s="2" t="str">
        <f>IF(Table1[[#This Row],[Employee Total Sales]]&gt;=200000,"High Performer",IF(Table1[[#This Row],[Employee Total Sales]]&gt;=180000,"Mid Performer","Low Performer"))</f>
        <v>High Performer</v>
      </c>
      <c r="M26" s="2" t="str">
        <f>IF(Table1[[#This Row],[Sales Performance]]="High Performer","Eligible for Promotion",IF(Table1[[#This Row],[Sales Performance]]="Low Performer","Review Cause Effect","Room For Growth"))</f>
        <v>Eligible for Promotion</v>
      </c>
    </row>
    <row r="27" spans="1:13" x14ac:dyDescent="0.35">
      <c r="A27">
        <v>522</v>
      </c>
      <c r="B27" t="s">
        <v>804</v>
      </c>
      <c r="C27" t="s">
        <v>111</v>
      </c>
      <c r="D27" t="s">
        <v>12</v>
      </c>
      <c r="E27" s="14" t="s">
        <v>805</v>
      </c>
      <c r="F27" t="s">
        <v>1198</v>
      </c>
      <c r="G27" s="8">
        <v>78855</v>
      </c>
      <c r="H27" s="8">
        <v>50064</v>
      </c>
      <c r="I27" s="8">
        <v>75862</v>
      </c>
      <c r="J27" s="9">
        <v>53826</v>
      </c>
      <c r="K27" s="8">
        <f>SUM(Table1[[#This Row],[Sales (Q1)]:[Sales (Q4)]])</f>
        <v>258607</v>
      </c>
      <c r="L27" s="2" t="str">
        <f>IF(Table1[[#This Row],[Employee Total Sales]]&gt;=200000,"High Performer",IF(Table1[[#This Row],[Employee Total Sales]]&gt;=180000,"Mid Performer","Low Performer"))</f>
        <v>High Performer</v>
      </c>
      <c r="M27" s="2" t="str">
        <f>IF(Table1[[#This Row],[Sales Performance]]="High Performer","Eligible for Promotion",IF(Table1[[#This Row],[Sales Performance]]="Low Performer","Review Cause Effect","Room For Growth"))</f>
        <v>Eligible for Promotion</v>
      </c>
    </row>
    <row r="28" spans="1:13" x14ac:dyDescent="0.35">
      <c r="A28">
        <v>422</v>
      </c>
      <c r="B28" t="s">
        <v>812</v>
      </c>
      <c r="C28" t="s">
        <v>111</v>
      </c>
      <c r="D28" t="s">
        <v>43</v>
      </c>
      <c r="E28" s="14" t="s">
        <v>813</v>
      </c>
      <c r="F28" t="s">
        <v>814</v>
      </c>
      <c r="G28" s="8">
        <v>62090</v>
      </c>
      <c r="H28" s="8">
        <v>72818</v>
      </c>
      <c r="I28" s="8">
        <v>47253</v>
      </c>
      <c r="J28" s="9">
        <v>76370</v>
      </c>
      <c r="K28" s="8">
        <f>SUM(Table1[[#This Row],[Sales (Q1)]:[Sales (Q4)]])</f>
        <v>258531</v>
      </c>
      <c r="L28" s="2" t="str">
        <f>IF(Table1[[#This Row],[Employee Total Sales]]&gt;=200000,"High Performer",IF(Table1[[#This Row],[Employee Total Sales]]&gt;=180000,"Mid Performer","Low Performer"))</f>
        <v>High Performer</v>
      </c>
      <c r="M28" s="2" t="str">
        <f>IF(Table1[[#This Row],[Sales Performance]]="High Performer","Eligible for Promotion",IF(Table1[[#This Row],[Sales Performance]]="Low Performer","Review Cause Effect","Room For Growth"))</f>
        <v>Eligible for Promotion</v>
      </c>
    </row>
    <row r="29" spans="1:13" x14ac:dyDescent="0.35">
      <c r="A29">
        <v>286</v>
      </c>
      <c r="B29" t="s">
        <v>515</v>
      </c>
      <c r="C29" t="s">
        <v>111</v>
      </c>
      <c r="D29" t="s">
        <v>43</v>
      </c>
      <c r="E29" s="14" t="s">
        <v>516</v>
      </c>
      <c r="F29" t="s">
        <v>1199</v>
      </c>
      <c r="G29" s="8">
        <v>73994</v>
      </c>
      <c r="H29" s="8">
        <v>63386</v>
      </c>
      <c r="I29" s="8">
        <v>60965</v>
      </c>
      <c r="J29" s="9">
        <v>59335</v>
      </c>
      <c r="K29" s="8">
        <f>SUM(Table1[[#This Row],[Sales (Q1)]:[Sales (Q4)]])</f>
        <v>257680</v>
      </c>
      <c r="L29" s="2" t="str">
        <f>IF(Table1[[#This Row],[Employee Total Sales]]&gt;=200000,"High Performer",IF(Table1[[#This Row],[Employee Total Sales]]&gt;=180000,"Mid Performer","Low Performer"))</f>
        <v>High Performer</v>
      </c>
      <c r="M29" s="2" t="str">
        <f>IF(Table1[[#This Row],[Sales Performance]]="High Performer","Eligible for Promotion",IF(Table1[[#This Row],[Sales Performance]]="Low Performer","Review Cause Effect","Room For Growth"))</f>
        <v>Eligible for Promotion</v>
      </c>
    </row>
    <row r="30" spans="1:13" x14ac:dyDescent="0.35">
      <c r="A30">
        <v>585</v>
      </c>
      <c r="B30" t="s">
        <v>1132</v>
      </c>
      <c r="C30" t="s">
        <v>16</v>
      </c>
      <c r="D30" t="s">
        <v>20</v>
      </c>
      <c r="E30" s="14" t="s">
        <v>1200</v>
      </c>
      <c r="F30" t="s">
        <v>1201</v>
      </c>
      <c r="G30" s="8">
        <v>36728</v>
      </c>
      <c r="H30" s="8">
        <v>70545</v>
      </c>
      <c r="I30" s="8">
        <v>79840</v>
      </c>
      <c r="J30" s="9">
        <v>69255</v>
      </c>
      <c r="K30" s="8">
        <f>SUM(Table1[[#This Row],[Sales (Q1)]:[Sales (Q4)]])</f>
        <v>256368</v>
      </c>
      <c r="L30" s="2" t="str">
        <f>IF(Table1[[#This Row],[Employee Total Sales]]&gt;=200000,"High Performer",IF(Table1[[#This Row],[Employee Total Sales]]&gt;=180000,"Mid Performer","Low Performer"))</f>
        <v>High Performer</v>
      </c>
      <c r="M30" s="2" t="str">
        <f>IF(Table1[[#This Row],[Sales Performance]]="High Performer","Eligible for Promotion",IF(Table1[[#This Row],[Sales Performance]]="Low Performer","Review Cause Effect","Room For Growth"))</f>
        <v>Eligible for Promotion</v>
      </c>
    </row>
    <row r="31" spans="1:13" x14ac:dyDescent="0.35">
      <c r="A31">
        <v>563</v>
      </c>
      <c r="B31" t="s">
        <v>642</v>
      </c>
      <c r="C31" t="s">
        <v>27</v>
      </c>
      <c r="D31" t="s">
        <v>28</v>
      </c>
      <c r="E31" s="14" t="s">
        <v>643</v>
      </c>
      <c r="F31" t="s">
        <v>1202</v>
      </c>
      <c r="G31" s="8">
        <v>58469</v>
      </c>
      <c r="H31" s="8">
        <v>71509</v>
      </c>
      <c r="I31" s="8">
        <v>56216</v>
      </c>
      <c r="J31" s="9">
        <v>69651</v>
      </c>
      <c r="K31" s="8">
        <f>SUM(Table1[[#This Row],[Sales (Q1)]:[Sales (Q4)]])</f>
        <v>255845</v>
      </c>
      <c r="L31" s="2" t="str">
        <f>IF(Table1[[#This Row],[Employee Total Sales]]&gt;=200000,"High Performer",IF(Table1[[#This Row],[Employee Total Sales]]&gt;=180000,"Mid Performer","Low Performer"))</f>
        <v>High Performer</v>
      </c>
      <c r="M31" s="2" t="str">
        <f>IF(Table1[[#This Row],[Sales Performance]]="High Performer","Eligible for Promotion",IF(Table1[[#This Row],[Sales Performance]]="Low Performer","Review Cause Effect","Room For Growth"))</f>
        <v>Eligible for Promotion</v>
      </c>
    </row>
    <row r="32" spans="1:13" x14ac:dyDescent="0.35">
      <c r="A32">
        <v>232</v>
      </c>
      <c r="B32" t="s">
        <v>168</v>
      </c>
      <c r="C32" t="s">
        <v>11</v>
      </c>
      <c r="D32" t="s">
        <v>28</v>
      </c>
      <c r="E32" s="14" t="s">
        <v>169</v>
      </c>
      <c r="F32" t="s">
        <v>382</v>
      </c>
      <c r="G32" s="8">
        <v>33855</v>
      </c>
      <c r="H32" s="8">
        <v>79065</v>
      </c>
      <c r="I32" s="8">
        <v>76892</v>
      </c>
      <c r="J32" s="9">
        <v>65369</v>
      </c>
      <c r="K32" s="8">
        <f>SUM(Table1[[#This Row],[Sales (Q1)]:[Sales (Q4)]])</f>
        <v>255181</v>
      </c>
      <c r="L32" s="2" t="str">
        <f>IF(Table1[[#This Row],[Employee Total Sales]]&gt;=200000,"High Performer",IF(Table1[[#This Row],[Employee Total Sales]]&gt;=180000,"Mid Performer","Low Performer"))</f>
        <v>High Performer</v>
      </c>
      <c r="M32" s="2" t="str">
        <f>IF(Table1[[#This Row],[Sales Performance]]="High Performer","Eligible for Promotion",IF(Table1[[#This Row],[Sales Performance]]="Low Performer","Review Cause Effect","Room For Growth"))</f>
        <v>Eligible for Promotion</v>
      </c>
    </row>
    <row r="33" spans="1:13" x14ac:dyDescent="0.35">
      <c r="A33">
        <v>435</v>
      </c>
      <c r="B33" t="s">
        <v>839</v>
      </c>
      <c r="C33" t="s">
        <v>39</v>
      </c>
      <c r="D33" t="s">
        <v>12</v>
      </c>
      <c r="E33" s="14" t="s">
        <v>1203</v>
      </c>
      <c r="F33" t="s">
        <v>1204</v>
      </c>
      <c r="G33" s="8">
        <v>45193</v>
      </c>
      <c r="H33" s="8">
        <v>65171</v>
      </c>
      <c r="I33" s="8">
        <v>73606</v>
      </c>
      <c r="J33" s="9">
        <v>71106</v>
      </c>
      <c r="K33" s="8">
        <f>SUM(Table1[[#This Row],[Sales (Q1)]:[Sales (Q4)]])</f>
        <v>255076</v>
      </c>
      <c r="L33" s="2" t="str">
        <f>IF(Table1[[#This Row],[Employee Total Sales]]&gt;=200000,"High Performer",IF(Table1[[#This Row],[Employee Total Sales]]&gt;=180000,"Mid Performer","Low Performer"))</f>
        <v>High Performer</v>
      </c>
      <c r="M33" s="2" t="str">
        <f>IF(Table1[[#This Row],[Sales Performance]]="High Performer","Eligible for Promotion",IF(Table1[[#This Row],[Sales Performance]]="Low Performer","Review Cause Effect","Room For Growth"))</f>
        <v>Eligible for Promotion</v>
      </c>
    </row>
    <row r="34" spans="1:13" x14ac:dyDescent="0.35">
      <c r="A34">
        <v>197</v>
      </c>
      <c r="B34" t="s">
        <v>291</v>
      </c>
      <c r="C34" t="s">
        <v>27</v>
      </c>
      <c r="D34" t="s">
        <v>28</v>
      </c>
      <c r="E34" s="14" t="s">
        <v>292</v>
      </c>
      <c r="F34" t="s">
        <v>1205</v>
      </c>
      <c r="G34" s="8">
        <v>79684</v>
      </c>
      <c r="H34" s="8">
        <v>76899</v>
      </c>
      <c r="I34" s="8">
        <v>23631</v>
      </c>
      <c r="J34" s="9">
        <v>74486</v>
      </c>
      <c r="K34" s="8">
        <f>SUM(Table1[[#This Row],[Sales (Q1)]:[Sales (Q4)]])</f>
        <v>254700</v>
      </c>
      <c r="L34" s="2" t="str">
        <f>IF(Table1[[#This Row],[Employee Total Sales]]&gt;=200000,"High Performer",IF(Table1[[#This Row],[Employee Total Sales]]&gt;=180000,"Mid Performer","Low Performer"))</f>
        <v>High Performer</v>
      </c>
      <c r="M34" s="2" t="str">
        <f>IF(Table1[[#This Row],[Sales Performance]]="High Performer","Eligible for Promotion",IF(Table1[[#This Row],[Sales Performance]]="Low Performer","Review Cause Effect","Room For Growth"))</f>
        <v>Eligible for Promotion</v>
      </c>
    </row>
    <row r="35" spans="1:13" x14ac:dyDescent="0.35">
      <c r="A35">
        <v>474</v>
      </c>
      <c r="B35" t="s">
        <v>922</v>
      </c>
      <c r="C35" t="s">
        <v>16</v>
      </c>
      <c r="D35" t="s">
        <v>28</v>
      </c>
      <c r="E35" s="14" t="s">
        <v>1206</v>
      </c>
      <c r="F35" t="s">
        <v>924</v>
      </c>
      <c r="G35" s="8">
        <v>76149</v>
      </c>
      <c r="H35" s="8">
        <v>24561</v>
      </c>
      <c r="I35" s="8">
        <v>78638</v>
      </c>
      <c r="J35" s="9">
        <v>75119</v>
      </c>
      <c r="K35" s="8">
        <f>SUM(Table1[[#This Row],[Sales (Q1)]:[Sales (Q4)]])</f>
        <v>254467</v>
      </c>
      <c r="L35" s="2" t="str">
        <f>IF(Table1[[#This Row],[Employee Total Sales]]&gt;=200000,"High Performer",IF(Table1[[#This Row],[Employee Total Sales]]&gt;=180000,"Mid Performer","Low Performer"))</f>
        <v>High Performer</v>
      </c>
      <c r="M35" s="2" t="str">
        <f>IF(Table1[[#This Row],[Sales Performance]]="High Performer","Eligible for Promotion",IF(Table1[[#This Row],[Sales Performance]]="Low Performer","Review Cause Effect","Room For Growth"))</f>
        <v>Eligible for Promotion</v>
      </c>
    </row>
    <row r="36" spans="1:13" x14ac:dyDescent="0.35">
      <c r="A36">
        <v>501</v>
      </c>
      <c r="B36" t="s">
        <v>162</v>
      </c>
      <c r="C36" t="s">
        <v>111</v>
      </c>
      <c r="D36" t="s">
        <v>20</v>
      </c>
      <c r="E36" s="14" t="s">
        <v>973</v>
      </c>
      <c r="F36" t="s">
        <v>1207</v>
      </c>
      <c r="G36" s="8">
        <v>79165</v>
      </c>
      <c r="H36" s="8">
        <v>77470</v>
      </c>
      <c r="I36" s="8">
        <v>37250</v>
      </c>
      <c r="J36" s="9">
        <v>60169</v>
      </c>
      <c r="K36" s="8">
        <f>SUM(Table1[[#This Row],[Sales (Q1)]:[Sales (Q4)]])</f>
        <v>254054</v>
      </c>
      <c r="L36" s="2" t="str">
        <f>IF(Table1[[#This Row],[Employee Total Sales]]&gt;=200000,"High Performer",IF(Table1[[#This Row],[Employee Total Sales]]&gt;=180000,"Mid Performer","Low Performer"))</f>
        <v>High Performer</v>
      </c>
      <c r="M36" s="2" t="str">
        <f>IF(Table1[[#This Row],[Sales Performance]]="High Performer","Eligible for Promotion",IF(Table1[[#This Row],[Sales Performance]]="Low Performer","Review Cause Effect","Room For Growth"))</f>
        <v>Eligible for Promotion</v>
      </c>
    </row>
    <row r="37" spans="1:13" x14ac:dyDescent="0.35">
      <c r="A37">
        <v>178</v>
      </c>
      <c r="B37" t="s">
        <v>238</v>
      </c>
      <c r="C37" t="s">
        <v>32</v>
      </c>
      <c r="D37" t="s">
        <v>20</v>
      </c>
      <c r="E37" s="14" t="s">
        <v>1208</v>
      </c>
      <c r="F37" t="s">
        <v>1209</v>
      </c>
      <c r="G37" s="8">
        <v>26783</v>
      </c>
      <c r="H37" s="8">
        <v>73147</v>
      </c>
      <c r="I37" s="8">
        <v>78925</v>
      </c>
      <c r="J37" s="9">
        <v>74878</v>
      </c>
      <c r="K37" s="8">
        <f>SUM(Table1[[#This Row],[Sales (Q1)]:[Sales (Q4)]])</f>
        <v>253733</v>
      </c>
      <c r="L37" s="2" t="str">
        <f>IF(Table1[[#This Row],[Employee Total Sales]]&gt;=200000,"High Performer",IF(Table1[[#This Row],[Employee Total Sales]]&gt;=180000,"Mid Performer","Low Performer"))</f>
        <v>High Performer</v>
      </c>
      <c r="M37" s="2" t="str">
        <f>IF(Table1[[#This Row],[Sales Performance]]="High Performer","Eligible for Promotion",IF(Table1[[#This Row],[Sales Performance]]="Low Performer","Review Cause Effect","Room For Growth"))</f>
        <v>Eligible for Promotion</v>
      </c>
    </row>
    <row r="38" spans="1:13" x14ac:dyDescent="0.35">
      <c r="A38">
        <v>146</v>
      </c>
      <c r="B38" t="s">
        <v>152</v>
      </c>
      <c r="C38" t="s">
        <v>55</v>
      </c>
      <c r="D38" t="s">
        <v>20</v>
      </c>
      <c r="E38" s="14" t="s">
        <v>153</v>
      </c>
      <c r="F38" t="s">
        <v>1210</v>
      </c>
      <c r="G38" s="8">
        <v>63423</v>
      </c>
      <c r="H38" s="8">
        <v>46244</v>
      </c>
      <c r="I38" s="8">
        <v>73317</v>
      </c>
      <c r="J38" s="9">
        <v>69840</v>
      </c>
      <c r="K38" s="8">
        <f>SUM(Table1[[#This Row],[Sales (Q1)]:[Sales (Q4)]])</f>
        <v>252824</v>
      </c>
      <c r="L38" s="2" t="str">
        <f>IF(Table1[[#This Row],[Employee Total Sales]]&gt;=200000,"High Performer",IF(Table1[[#This Row],[Employee Total Sales]]&gt;=180000,"Mid Performer","Low Performer"))</f>
        <v>High Performer</v>
      </c>
      <c r="M38" s="2" t="str">
        <f>IF(Table1[[#This Row],[Sales Performance]]="High Performer","Eligible for Promotion",IF(Table1[[#This Row],[Sales Performance]]="Low Performer","Review Cause Effect","Room For Growth"))</f>
        <v>Eligible for Promotion</v>
      </c>
    </row>
    <row r="39" spans="1:13" x14ac:dyDescent="0.35">
      <c r="A39">
        <v>534</v>
      </c>
      <c r="B39" t="s">
        <v>645</v>
      </c>
      <c r="C39" t="s">
        <v>39</v>
      </c>
      <c r="D39" t="s">
        <v>28</v>
      </c>
      <c r="E39" s="14" t="s">
        <v>1703</v>
      </c>
      <c r="F39" t="s">
        <v>1041</v>
      </c>
      <c r="G39" s="8">
        <v>36075</v>
      </c>
      <c r="H39" s="8">
        <v>74374</v>
      </c>
      <c r="I39" s="8">
        <v>66243</v>
      </c>
      <c r="J39" s="9">
        <v>74979</v>
      </c>
      <c r="K39" s="8">
        <f>SUM(Table1[[#This Row],[Sales (Q1)]:[Sales (Q4)]])</f>
        <v>251671</v>
      </c>
      <c r="L39" s="2" t="str">
        <f>IF(Table1[[#This Row],[Employee Total Sales]]&gt;=200000,"High Performer",IF(Table1[[#This Row],[Employee Total Sales]]&gt;=180000,"Mid Performer","Low Performer"))</f>
        <v>High Performer</v>
      </c>
      <c r="M39" s="2" t="str">
        <f>IF(Table1[[#This Row],[Sales Performance]]="High Performer","Eligible for Promotion",IF(Table1[[#This Row],[Sales Performance]]="Low Performer","Review Cause Effect","Room For Growth"))</f>
        <v>Eligible for Promotion</v>
      </c>
    </row>
    <row r="40" spans="1:13" x14ac:dyDescent="0.35">
      <c r="A40">
        <v>374</v>
      </c>
      <c r="B40" t="s">
        <v>713</v>
      </c>
      <c r="C40" t="s">
        <v>55</v>
      </c>
      <c r="D40" t="s">
        <v>43</v>
      </c>
      <c r="E40" s="14" t="s">
        <v>1211</v>
      </c>
      <c r="F40" t="s">
        <v>1212</v>
      </c>
      <c r="G40" s="8">
        <v>76153</v>
      </c>
      <c r="H40" s="8">
        <v>43860</v>
      </c>
      <c r="I40" s="8">
        <v>70857</v>
      </c>
      <c r="J40" s="9">
        <v>60645</v>
      </c>
      <c r="K40" s="8">
        <f>SUM(Table1[[#This Row],[Sales (Q1)]:[Sales (Q4)]])</f>
        <v>251515</v>
      </c>
      <c r="L40" s="2" t="str">
        <f>IF(Table1[[#This Row],[Employee Total Sales]]&gt;=200000,"High Performer",IF(Table1[[#This Row],[Employee Total Sales]]&gt;=180000,"Mid Performer","Low Performer"))</f>
        <v>High Performer</v>
      </c>
      <c r="M40" s="2" t="str">
        <f>IF(Table1[[#This Row],[Sales Performance]]="High Performer","Eligible for Promotion",IF(Table1[[#This Row],[Sales Performance]]="Low Performer","Review Cause Effect","Room For Growth"))</f>
        <v>Eligible for Promotion</v>
      </c>
    </row>
    <row r="41" spans="1:13" x14ac:dyDescent="0.35">
      <c r="A41">
        <v>219</v>
      </c>
      <c r="B41" t="s">
        <v>350</v>
      </c>
      <c r="C41" t="s">
        <v>11</v>
      </c>
      <c r="D41" t="s">
        <v>28</v>
      </c>
      <c r="E41" s="14" t="s">
        <v>1704</v>
      </c>
      <c r="F41" t="s">
        <v>1213</v>
      </c>
      <c r="G41" s="8">
        <v>49395</v>
      </c>
      <c r="H41" s="8">
        <v>76991</v>
      </c>
      <c r="I41" s="8">
        <v>79425</v>
      </c>
      <c r="J41" s="9">
        <v>44739</v>
      </c>
      <c r="K41" s="8">
        <f>SUM(Table1[[#This Row],[Sales (Q1)]:[Sales (Q4)]])</f>
        <v>250550</v>
      </c>
      <c r="L41" s="2" t="str">
        <f>IF(Table1[[#This Row],[Employee Total Sales]]&gt;=200000,"High Performer",IF(Table1[[#This Row],[Employee Total Sales]]&gt;=180000,"Mid Performer","Low Performer"))</f>
        <v>High Performer</v>
      </c>
      <c r="M41" s="2" t="str">
        <f>IF(Table1[[#This Row],[Sales Performance]]="High Performer","Eligible for Promotion",IF(Table1[[#This Row],[Sales Performance]]="Low Performer","Review Cause Effect","Room For Growth"))</f>
        <v>Eligible for Promotion</v>
      </c>
    </row>
    <row r="42" spans="1:13" x14ac:dyDescent="0.35">
      <c r="A42">
        <v>411</v>
      </c>
      <c r="B42" t="s">
        <v>786</v>
      </c>
      <c r="C42" t="s">
        <v>11</v>
      </c>
      <c r="D42" t="s">
        <v>28</v>
      </c>
      <c r="E42" s="14" t="s">
        <v>787</v>
      </c>
      <c r="F42" t="s">
        <v>1214</v>
      </c>
      <c r="G42" s="8">
        <v>69708</v>
      </c>
      <c r="H42" s="8">
        <v>40456</v>
      </c>
      <c r="I42" s="8">
        <v>61867</v>
      </c>
      <c r="J42" s="9">
        <v>78466</v>
      </c>
      <c r="K42" s="8">
        <f>SUM(Table1[[#This Row],[Sales (Q1)]:[Sales (Q4)]])</f>
        <v>250497</v>
      </c>
      <c r="L42" s="2" t="str">
        <f>IF(Table1[[#This Row],[Employee Total Sales]]&gt;=200000,"High Performer",IF(Table1[[#This Row],[Employee Total Sales]]&gt;=180000,"Mid Performer","Low Performer"))</f>
        <v>High Performer</v>
      </c>
      <c r="M42" s="2" t="str">
        <f>IF(Table1[[#This Row],[Sales Performance]]="High Performer","Eligible for Promotion",IF(Table1[[#This Row],[Sales Performance]]="Low Performer","Review Cause Effect","Room For Growth"))</f>
        <v>Eligible for Promotion</v>
      </c>
    </row>
    <row r="43" spans="1:13" x14ac:dyDescent="0.35">
      <c r="A43">
        <v>292</v>
      </c>
      <c r="B43" t="s">
        <v>193</v>
      </c>
      <c r="C43" t="s">
        <v>27</v>
      </c>
      <c r="D43" t="s">
        <v>12</v>
      </c>
      <c r="E43" s="14" t="s">
        <v>254</v>
      </c>
      <c r="F43" t="s">
        <v>529</v>
      </c>
      <c r="G43" s="8">
        <v>60517</v>
      </c>
      <c r="H43" s="8">
        <v>59888</v>
      </c>
      <c r="I43" s="8">
        <v>64617</v>
      </c>
      <c r="J43" s="9">
        <v>65459</v>
      </c>
      <c r="K43" s="8">
        <f>SUM(Table1[[#This Row],[Sales (Q1)]:[Sales (Q4)]])</f>
        <v>250481</v>
      </c>
      <c r="L43" s="2" t="str">
        <f>IF(Table1[[#This Row],[Employee Total Sales]]&gt;=200000,"High Performer",IF(Table1[[#This Row],[Employee Total Sales]]&gt;=180000,"Mid Performer","Low Performer"))</f>
        <v>High Performer</v>
      </c>
      <c r="M43" s="2" t="str">
        <f>IF(Table1[[#This Row],[Sales Performance]]="High Performer","Eligible for Promotion",IF(Table1[[#This Row],[Sales Performance]]="Low Performer","Review Cause Effect","Room For Growth"))</f>
        <v>Eligible for Promotion</v>
      </c>
    </row>
    <row r="44" spans="1:13" x14ac:dyDescent="0.35">
      <c r="A44">
        <v>565</v>
      </c>
      <c r="B44" t="s">
        <v>467</v>
      </c>
      <c r="C44" t="s">
        <v>111</v>
      </c>
      <c r="D44" t="s">
        <v>43</v>
      </c>
      <c r="E44" s="14" t="s">
        <v>582</v>
      </c>
      <c r="F44" t="s">
        <v>1215</v>
      </c>
      <c r="G44" s="8">
        <v>57236</v>
      </c>
      <c r="H44" s="8">
        <v>61277</v>
      </c>
      <c r="I44" s="8">
        <v>72372</v>
      </c>
      <c r="J44" s="9">
        <v>59518</v>
      </c>
      <c r="K44" s="8">
        <f>SUM(Table1[[#This Row],[Sales (Q1)]:[Sales (Q4)]])</f>
        <v>250403</v>
      </c>
      <c r="L44" s="2" t="str">
        <f>IF(Table1[[#This Row],[Employee Total Sales]]&gt;=200000,"High Performer",IF(Table1[[#This Row],[Employee Total Sales]]&gt;=180000,"Mid Performer","Low Performer"))</f>
        <v>High Performer</v>
      </c>
      <c r="M44" s="2" t="str">
        <f>IF(Table1[[#This Row],[Sales Performance]]="High Performer","Eligible for Promotion",IF(Table1[[#This Row],[Sales Performance]]="Low Performer","Review Cause Effect","Room For Growth"))</f>
        <v>Eligible for Promotion</v>
      </c>
    </row>
    <row r="45" spans="1:13" x14ac:dyDescent="0.35">
      <c r="A45">
        <v>119</v>
      </c>
      <c r="B45" t="s">
        <v>72</v>
      </c>
      <c r="C45" t="s">
        <v>32</v>
      </c>
      <c r="D45" t="s">
        <v>28</v>
      </c>
      <c r="E45" s="14" t="s">
        <v>73</v>
      </c>
      <c r="F45" t="s">
        <v>1216</v>
      </c>
      <c r="G45" s="8">
        <v>78915</v>
      </c>
      <c r="H45" s="8">
        <v>72174</v>
      </c>
      <c r="I45" s="8">
        <v>76407</v>
      </c>
      <c r="J45" s="9">
        <v>22614</v>
      </c>
      <c r="K45" s="8">
        <f>SUM(Table1[[#This Row],[Sales (Q1)]:[Sales (Q4)]])</f>
        <v>250110</v>
      </c>
      <c r="L45" s="2" t="str">
        <f>IF(Table1[[#This Row],[Employee Total Sales]]&gt;=200000,"High Performer",IF(Table1[[#This Row],[Employee Total Sales]]&gt;=180000,"Mid Performer","Low Performer"))</f>
        <v>High Performer</v>
      </c>
      <c r="M45" s="2" t="str">
        <f>IF(Table1[[#This Row],[Sales Performance]]="High Performer","Eligible for Promotion",IF(Table1[[#This Row],[Sales Performance]]="Low Performer","Review Cause Effect","Room For Growth"))</f>
        <v>Eligible for Promotion</v>
      </c>
    </row>
    <row r="46" spans="1:13" x14ac:dyDescent="0.35">
      <c r="A46">
        <v>462</v>
      </c>
      <c r="B46" t="s">
        <v>631</v>
      </c>
      <c r="C46" t="s">
        <v>111</v>
      </c>
      <c r="D46" t="s">
        <v>28</v>
      </c>
      <c r="E46" s="14" t="s">
        <v>899</v>
      </c>
      <c r="F46" t="s">
        <v>1217</v>
      </c>
      <c r="G46" s="8">
        <v>30734</v>
      </c>
      <c r="H46" s="8">
        <v>72800</v>
      </c>
      <c r="I46" s="8">
        <v>67710</v>
      </c>
      <c r="J46" s="9">
        <v>78833</v>
      </c>
      <c r="K46" s="8">
        <f>SUM(Table1[[#This Row],[Sales (Q1)]:[Sales (Q4)]])</f>
        <v>250077</v>
      </c>
      <c r="L46" s="2" t="str">
        <f>IF(Table1[[#This Row],[Employee Total Sales]]&gt;=200000,"High Performer",IF(Table1[[#This Row],[Employee Total Sales]]&gt;=180000,"Mid Performer","Low Performer"))</f>
        <v>High Performer</v>
      </c>
      <c r="M46" s="2" t="str">
        <f>IF(Table1[[#This Row],[Sales Performance]]="High Performer","Eligible for Promotion",IF(Table1[[#This Row],[Sales Performance]]="Low Performer","Review Cause Effect","Room For Growth"))</f>
        <v>Eligible for Promotion</v>
      </c>
    </row>
    <row r="47" spans="1:13" x14ac:dyDescent="0.35">
      <c r="A47">
        <v>135</v>
      </c>
      <c r="B47" t="s">
        <v>120</v>
      </c>
      <c r="C47" t="s">
        <v>16</v>
      </c>
      <c r="D47" t="s">
        <v>12</v>
      </c>
      <c r="E47" s="14" t="s">
        <v>1218</v>
      </c>
      <c r="F47" t="s">
        <v>1219</v>
      </c>
      <c r="G47" s="8">
        <v>48545</v>
      </c>
      <c r="H47" s="8">
        <v>74115</v>
      </c>
      <c r="I47" s="8">
        <v>67908</v>
      </c>
      <c r="J47" s="9">
        <v>58828</v>
      </c>
      <c r="K47" s="8">
        <f>SUM(Table1[[#This Row],[Sales (Q1)]:[Sales (Q4)]])</f>
        <v>249396</v>
      </c>
      <c r="L47" s="2" t="str">
        <f>IF(Table1[[#This Row],[Employee Total Sales]]&gt;=200000,"High Performer",IF(Table1[[#This Row],[Employee Total Sales]]&gt;=180000,"Mid Performer","Low Performer"))</f>
        <v>High Performer</v>
      </c>
      <c r="M47" s="2" t="str">
        <f>IF(Table1[[#This Row],[Sales Performance]]="High Performer","Eligible for Promotion",IF(Table1[[#This Row],[Sales Performance]]="Low Performer","Review Cause Effect","Room For Growth"))</f>
        <v>Eligible for Promotion</v>
      </c>
    </row>
    <row r="48" spans="1:13" x14ac:dyDescent="0.35">
      <c r="A48">
        <v>234</v>
      </c>
      <c r="B48" t="s">
        <v>386</v>
      </c>
      <c r="C48" t="s">
        <v>16</v>
      </c>
      <c r="D48" t="s">
        <v>43</v>
      </c>
      <c r="E48" s="14" t="s">
        <v>807</v>
      </c>
      <c r="F48" t="s">
        <v>1220</v>
      </c>
      <c r="G48" s="8">
        <v>59660</v>
      </c>
      <c r="H48" s="8">
        <v>70397</v>
      </c>
      <c r="I48" s="8">
        <v>60230</v>
      </c>
      <c r="J48" s="9">
        <v>59033</v>
      </c>
      <c r="K48" s="8">
        <f>SUM(Table1[[#This Row],[Sales (Q1)]:[Sales (Q4)]])</f>
        <v>249320</v>
      </c>
      <c r="L48" s="2" t="str">
        <f>IF(Table1[[#This Row],[Employee Total Sales]]&gt;=200000,"High Performer",IF(Table1[[#This Row],[Employee Total Sales]]&gt;=180000,"Mid Performer","Low Performer"))</f>
        <v>High Performer</v>
      </c>
      <c r="M48" s="2" t="str">
        <f>IF(Table1[[#This Row],[Sales Performance]]="High Performer","Eligible for Promotion",IF(Table1[[#This Row],[Sales Performance]]="Low Performer","Review Cause Effect","Room For Growth"))</f>
        <v>Eligible for Promotion</v>
      </c>
    </row>
    <row r="49" spans="1:13" x14ac:dyDescent="0.35">
      <c r="A49">
        <v>557</v>
      </c>
      <c r="B49" t="s">
        <v>792</v>
      </c>
      <c r="C49" t="s">
        <v>32</v>
      </c>
      <c r="D49" t="s">
        <v>20</v>
      </c>
      <c r="E49" s="14" t="s">
        <v>1221</v>
      </c>
      <c r="F49" t="s">
        <v>1222</v>
      </c>
      <c r="G49" s="8">
        <v>61252</v>
      </c>
      <c r="H49" s="8">
        <v>72141</v>
      </c>
      <c r="I49" s="8">
        <v>38354</v>
      </c>
      <c r="J49" s="9">
        <v>77203</v>
      </c>
      <c r="K49" s="8">
        <f>SUM(Table1[[#This Row],[Sales (Q1)]:[Sales (Q4)]])</f>
        <v>248950</v>
      </c>
      <c r="L49" s="2" t="str">
        <f>IF(Table1[[#This Row],[Employee Total Sales]]&gt;=200000,"High Performer",IF(Table1[[#This Row],[Employee Total Sales]]&gt;=180000,"Mid Performer","Low Performer"))</f>
        <v>High Performer</v>
      </c>
      <c r="M49" s="2" t="str">
        <f>IF(Table1[[#This Row],[Sales Performance]]="High Performer","Eligible for Promotion",IF(Table1[[#This Row],[Sales Performance]]="Low Performer","Review Cause Effect","Room For Growth"))</f>
        <v>Eligible for Promotion</v>
      </c>
    </row>
    <row r="50" spans="1:13" x14ac:dyDescent="0.35">
      <c r="A50">
        <v>182</v>
      </c>
      <c r="B50" t="s">
        <v>248</v>
      </c>
      <c r="C50" t="s">
        <v>39</v>
      </c>
      <c r="D50" t="s">
        <v>43</v>
      </c>
      <c r="E50" s="14" t="s">
        <v>1223</v>
      </c>
      <c r="F50" t="s">
        <v>1224</v>
      </c>
      <c r="G50" s="8">
        <v>38673</v>
      </c>
      <c r="H50" s="8">
        <v>69308</v>
      </c>
      <c r="I50" s="8">
        <v>69056</v>
      </c>
      <c r="J50" s="9">
        <v>71367</v>
      </c>
      <c r="K50" s="8">
        <f>SUM(Table1[[#This Row],[Sales (Q1)]:[Sales (Q4)]])</f>
        <v>248404</v>
      </c>
      <c r="L50" s="2" t="str">
        <f>IF(Table1[[#This Row],[Employee Total Sales]]&gt;=200000,"High Performer",IF(Table1[[#This Row],[Employee Total Sales]]&gt;=180000,"Mid Performer","Low Performer"))</f>
        <v>High Performer</v>
      </c>
      <c r="M50" s="2" t="str">
        <f>IF(Table1[[#This Row],[Sales Performance]]="High Performer","Eligible for Promotion",IF(Table1[[#This Row],[Sales Performance]]="Low Performer","Review Cause Effect","Room For Growth"))</f>
        <v>Eligible for Promotion</v>
      </c>
    </row>
    <row r="51" spans="1:13" x14ac:dyDescent="0.35">
      <c r="A51">
        <v>583</v>
      </c>
      <c r="B51" t="s">
        <v>1128</v>
      </c>
      <c r="C51" t="s">
        <v>16</v>
      </c>
      <c r="D51" t="s">
        <v>20</v>
      </c>
      <c r="E51" s="14" t="s">
        <v>1129</v>
      </c>
      <c r="F51" t="s">
        <v>1225</v>
      </c>
      <c r="G51" s="8">
        <v>69732</v>
      </c>
      <c r="H51" s="8">
        <v>79405</v>
      </c>
      <c r="I51" s="8">
        <v>39675</v>
      </c>
      <c r="J51" s="9">
        <v>59005</v>
      </c>
      <c r="K51" s="8">
        <f>SUM(Table1[[#This Row],[Sales (Q1)]:[Sales (Q4)]])</f>
        <v>247817</v>
      </c>
      <c r="L51" s="2" t="str">
        <f>IF(Table1[[#This Row],[Employee Total Sales]]&gt;=200000,"High Performer",IF(Table1[[#This Row],[Employee Total Sales]]&gt;=180000,"Mid Performer","Low Performer"))</f>
        <v>High Performer</v>
      </c>
      <c r="M51" s="2" t="str">
        <f>IF(Table1[[#This Row],[Sales Performance]]="High Performer","Eligible for Promotion",IF(Table1[[#This Row],[Sales Performance]]="Low Performer","Review Cause Effect","Room For Growth"))</f>
        <v>Eligible for Promotion</v>
      </c>
    </row>
    <row r="52" spans="1:13" x14ac:dyDescent="0.35">
      <c r="A52">
        <v>399</v>
      </c>
      <c r="B52" t="s">
        <v>229</v>
      </c>
      <c r="C52" t="s">
        <v>55</v>
      </c>
      <c r="D52" t="s">
        <v>20</v>
      </c>
      <c r="E52" s="14" t="s">
        <v>230</v>
      </c>
      <c r="F52" t="s">
        <v>1226</v>
      </c>
      <c r="G52" s="8">
        <v>77101</v>
      </c>
      <c r="H52" s="8">
        <v>63222</v>
      </c>
      <c r="I52" s="8">
        <v>76536</v>
      </c>
      <c r="J52" s="9">
        <v>29836</v>
      </c>
      <c r="K52" s="8">
        <f>SUM(Table1[[#This Row],[Sales (Q1)]:[Sales (Q4)]])</f>
        <v>246695</v>
      </c>
      <c r="L52" s="2" t="str">
        <f>IF(Table1[[#This Row],[Employee Total Sales]]&gt;=200000,"High Performer",IF(Table1[[#This Row],[Employee Total Sales]]&gt;=180000,"Mid Performer","Low Performer"))</f>
        <v>High Performer</v>
      </c>
      <c r="M52" s="2" t="str">
        <f>IF(Table1[[#This Row],[Sales Performance]]="High Performer","Eligible for Promotion",IF(Table1[[#This Row],[Sales Performance]]="Low Performer","Review Cause Effect","Room For Growth"))</f>
        <v>Eligible for Promotion</v>
      </c>
    </row>
    <row r="53" spans="1:13" x14ac:dyDescent="0.35">
      <c r="A53">
        <v>288</v>
      </c>
      <c r="B53" t="s">
        <v>521</v>
      </c>
      <c r="C53" t="s">
        <v>16</v>
      </c>
      <c r="D53" t="s">
        <v>28</v>
      </c>
      <c r="E53" s="14" t="s">
        <v>522</v>
      </c>
      <c r="F53" t="s">
        <v>1227</v>
      </c>
      <c r="G53" s="8">
        <v>72964</v>
      </c>
      <c r="H53" s="8">
        <v>55484</v>
      </c>
      <c r="I53" s="8">
        <v>47131</v>
      </c>
      <c r="J53" s="9">
        <v>69575</v>
      </c>
      <c r="K53" s="8">
        <f>SUM(Table1[[#This Row],[Sales (Q1)]:[Sales (Q4)]])</f>
        <v>245154</v>
      </c>
      <c r="L53" s="2" t="str">
        <f>IF(Table1[[#This Row],[Employee Total Sales]]&gt;=200000,"High Performer",IF(Table1[[#This Row],[Employee Total Sales]]&gt;=180000,"Mid Performer","Low Performer"))</f>
        <v>High Performer</v>
      </c>
      <c r="M53" s="2" t="str">
        <f>IF(Table1[[#This Row],[Sales Performance]]="High Performer","Eligible for Promotion",IF(Table1[[#This Row],[Sales Performance]]="Low Performer","Review Cause Effect","Room For Growth"))</f>
        <v>Eligible for Promotion</v>
      </c>
    </row>
    <row r="54" spans="1:13" x14ac:dyDescent="0.35">
      <c r="A54">
        <v>141</v>
      </c>
      <c r="B54" t="s">
        <v>137</v>
      </c>
      <c r="C54" t="s">
        <v>16</v>
      </c>
      <c r="D54" t="s">
        <v>28</v>
      </c>
      <c r="E54" s="14" t="s">
        <v>1705</v>
      </c>
      <c r="F54" t="s">
        <v>1228</v>
      </c>
      <c r="G54" s="8">
        <v>79539</v>
      </c>
      <c r="H54" s="8">
        <v>49014</v>
      </c>
      <c r="I54" s="8">
        <v>39487</v>
      </c>
      <c r="J54" s="9">
        <v>76371</v>
      </c>
      <c r="K54" s="8">
        <f>SUM(Table1[[#This Row],[Sales (Q1)]:[Sales (Q4)]])</f>
        <v>244411</v>
      </c>
      <c r="L54" s="2" t="str">
        <f>IF(Table1[[#This Row],[Employee Total Sales]]&gt;=200000,"High Performer",IF(Table1[[#This Row],[Employee Total Sales]]&gt;=180000,"Mid Performer","Low Performer"))</f>
        <v>High Performer</v>
      </c>
      <c r="M54" s="2" t="str">
        <f>IF(Table1[[#This Row],[Sales Performance]]="High Performer","Eligible for Promotion",IF(Table1[[#This Row],[Sales Performance]]="Low Performer","Review Cause Effect","Room For Growth"))</f>
        <v>Eligible for Promotion</v>
      </c>
    </row>
    <row r="55" spans="1:13" x14ac:dyDescent="0.35">
      <c r="A55">
        <v>494</v>
      </c>
      <c r="B55" t="s">
        <v>416</v>
      </c>
      <c r="C55" t="s">
        <v>11</v>
      </c>
      <c r="D55" t="s">
        <v>12</v>
      </c>
      <c r="E55" s="14" t="s">
        <v>417</v>
      </c>
      <c r="F55" t="s">
        <v>962</v>
      </c>
      <c r="G55" s="8">
        <v>61297</v>
      </c>
      <c r="H55" s="8">
        <v>49058</v>
      </c>
      <c r="I55" s="8">
        <v>71840</v>
      </c>
      <c r="J55" s="9">
        <v>62015</v>
      </c>
      <c r="K55" s="8">
        <f>SUM(Table1[[#This Row],[Sales (Q1)]:[Sales (Q4)]])</f>
        <v>244210</v>
      </c>
      <c r="L55" s="2" t="str">
        <f>IF(Table1[[#This Row],[Employee Total Sales]]&gt;=200000,"High Performer",IF(Table1[[#This Row],[Employee Total Sales]]&gt;=180000,"Mid Performer","Low Performer"))</f>
        <v>High Performer</v>
      </c>
      <c r="M55" s="2" t="str">
        <f>IF(Table1[[#This Row],[Sales Performance]]="High Performer","Eligible for Promotion",IF(Table1[[#This Row],[Sales Performance]]="Low Performer","Review Cause Effect","Room For Growth"))</f>
        <v>Eligible for Promotion</v>
      </c>
    </row>
    <row r="56" spans="1:13" x14ac:dyDescent="0.35">
      <c r="A56">
        <v>206</v>
      </c>
      <c r="B56" t="s">
        <v>187</v>
      </c>
      <c r="C56" t="s">
        <v>16</v>
      </c>
      <c r="D56" t="s">
        <v>12</v>
      </c>
      <c r="E56" s="14" t="s">
        <v>1229</v>
      </c>
      <c r="F56" t="s">
        <v>318</v>
      </c>
      <c r="G56" s="8">
        <v>54356</v>
      </c>
      <c r="H56" s="8">
        <v>61223</v>
      </c>
      <c r="I56" s="8">
        <v>67263</v>
      </c>
      <c r="J56" s="9">
        <v>60615</v>
      </c>
      <c r="K56" s="8">
        <f>SUM(Table1[[#This Row],[Sales (Q1)]:[Sales (Q4)]])</f>
        <v>243457</v>
      </c>
      <c r="L56" s="2" t="str">
        <f>IF(Table1[[#This Row],[Employee Total Sales]]&gt;=200000,"High Performer",IF(Table1[[#This Row],[Employee Total Sales]]&gt;=180000,"Mid Performer","Low Performer"))</f>
        <v>High Performer</v>
      </c>
      <c r="M56" s="2" t="str">
        <f>IF(Table1[[#This Row],[Sales Performance]]="High Performer","Eligible for Promotion",IF(Table1[[#This Row],[Sales Performance]]="Low Performer","Review Cause Effect","Room For Growth"))</f>
        <v>Eligible for Promotion</v>
      </c>
    </row>
    <row r="57" spans="1:13" x14ac:dyDescent="0.35">
      <c r="A57">
        <v>289</v>
      </c>
      <c r="B57" t="s">
        <v>333</v>
      </c>
      <c r="C57" t="s">
        <v>27</v>
      </c>
      <c r="D57" t="s">
        <v>20</v>
      </c>
      <c r="E57" s="14" t="s">
        <v>334</v>
      </c>
      <c r="F57" t="s">
        <v>1230</v>
      </c>
      <c r="G57" s="8">
        <v>52905</v>
      </c>
      <c r="H57" s="8">
        <v>57435</v>
      </c>
      <c r="I57" s="8">
        <v>79012</v>
      </c>
      <c r="J57" s="9">
        <v>53870</v>
      </c>
      <c r="K57" s="8">
        <f>SUM(Table1[[#This Row],[Sales (Q1)]:[Sales (Q4)]])</f>
        <v>243222</v>
      </c>
      <c r="L57" s="2" t="str">
        <f>IF(Table1[[#This Row],[Employee Total Sales]]&gt;=200000,"High Performer",IF(Table1[[#This Row],[Employee Total Sales]]&gt;=180000,"Mid Performer","Low Performer"))</f>
        <v>High Performer</v>
      </c>
      <c r="M57" s="2" t="str">
        <f>IF(Table1[[#This Row],[Sales Performance]]="High Performer","Eligible for Promotion",IF(Table1[[#This Row],[Sales Performance]]="Low Performer","Review Cause Effect","Room For Growth"))</f>
        <v>Eligible for Promotion</v>
      </c>
    </row>
    <row r="58" spans="1:13" x14ac:dyDescent="0.35">
      <c r="A58">
        <v>511</v>
      </c>
      <c r="B58" t="s">
        <v>993</v>
      </c>
      <c r="C58" t="s">
        <v>16</v>
      </c>
      <c r="D58" t="s">
        <v>12</v>
      </c>
      <c r="E58" s="14" t="s">
        <v>994</v>
      </c>
      <c r="F58" t="s">
        <v>1231</v>
      </c>
      <c r="G58" s="8">
        <v>68957</v>
      </c>
      <c r="H58" s="8">
        <v>59587</v>
      </c>
      <c r="I58" s="8">
        <v>36994</v>
      </c>
      <c r="J58" s="9">
        <v>77122</v>
      </c>
      <c r="K58" s="8">
        <f>SUM(Table1[[#This Row],[Sales (Q1)]:[Sales (Q4)]])</f>
        <v>242660</v>
      </c>
      <c r="L58" s="2" t="str">
        <f>IF(Table1[[#This Row],[Employee Total Sales]]&gt;=200000,"High Performer",IF(Table1[[#This Row],[Employee Total Sales]]&gt;=180000,"Mid Performer","Low Performer"))</f>
        <v>High Performer</v>
      </c>
      <c r="M58" s="2" t="str">
        <f>IF(Table1[[#This Row],[Sales Performance]]="High Performer","Eligible for Promotion",IF(Table1[[#This Row],[Sales Performance]]="Low Performer","Review Cause Effect","Room For Growth"))</f>
        <v>Eligible for Promotion</v>
      </c>
    </row>
    <row r="59" spans="1:13" x14ac:dyDescent="0.35">
      <c r="A59">
        <v>158</v>
      </c>
      <c r="B59" t="s">
        <v>184</v>
      </c>
      <c r="C59" t="s">
        <v>55</v>
      </c>
      <c r="D59" t="s">
        <v>12</v>
      </c>
      <c r="E59" s="14" t="s">
        <v>185</v>
      </c>
      <c r="F59" t="s">
        <v>186</v>
      </c>
      <c r="G59" s="8">
        <v>36840</v>
      </c>
      <c r="H59" s="8">
        <v>79903</v>
      </c>
      <c r="I59" s="8">
        <v>74046</v>
      </c>
      <c r="J59" s="9">
        <v>51578</v>
      </c>
      <c r="K59" s="8">
        <f>SUM(Table1[[#This Row],[Sales (Q1)]:[Sales (Q4)]])</f>
        <v>242367</v>
      </c>
      <c r="L59" s="2" t="str">
        <f>IF(Table1[[#This Row],[Employee Total Sales]]&gt;=200000,"High Performer",IF(Table1[[#This Row],[Employee Total Sales]]&gt;=180000,"Mid Performer","Low Performer"))</f>
        <v>High Performer</v>
      </c>
      <c r="M59" s="2" t="str">
        <f>IF(Table1[[#This Row],[Sales Performance]]="High Performer","Eligible for Promotion",IF(Table1[[#This Row],[Sales Performance]]="Low Performer","Review Cause Effect","Room For Growth"))</f>
        <v>Eligible for Promotion</v>
      </c>
    </row>
    <row r="60" spans="1:13" x14ac:dyDescent="0.35">
      <c r="A60">
        <v>125</v>
      </c>
      <c r="B60" t="s">
        <v>89</v>
      </c>
      <c r="C60" t="s">
        <v>16</v>
      </c>
      <c r="D60" t="s">
        <v>20</v>
      </c>
      <c r="E60" s="14" t="s">
        <v>800</v>
      </c>
      <c r="F60" t="s">
        <v>1232</v>
      </c>
      <c r="G60" s="8">
        <v>73636</v>
      </c>
      <c r="H60" s="8">
        <v>69226</v>
      </c>
      <c r="I60" s="8">
        <v>35392</v>
      </c>
      <c r="J60" s="9">
        <v>64092</v>
      </c>
      <c r="K60" s="8">
        <f>SUM(Table1[[#This Row],[Sales (Q1)]:[Sales (Q4)]])</f>
        <v>242346</v>
      </c>
      <c r="L60" s="2" t="str">
        <f>IF(Table1[[#This Row],[Employee Total Sales]]&gt;=200000,"High Performer",IF(Table1[[#This Row],[Employee Total Sales]]&gt;=180000,"Mid Performer","Low Performer"))</f>
        <v>High Performer</v>
      </c>
      <c r="M60" s="2" t="str">
        <f>IF(Table1[[#This Row],[Sales Performance]]="High Performer","Eligible for Promotion",IF(Table1[[#This Row],[Sales Performance]]="Low Performer","Review Cause Effect","Room For Growth"))</f>
        <v>Eligible for Promotion</v>
      </c>
    </row>
    <row r="61" spans="1:13" x14ac:dyDescent="0.35">
      <c r="A61">
        <v>552</v>
      </c>
      <c r="B61" t="s">
        <v>358</v>
      </c>
      <c r="C61" t="s">
        <v>32</v>
      </c>
      <c r="D61" t="s">
        <v>28</v>
      </c>
      <c r="E61" s="14" t="s">
        <v>500</v>
      </c>
      <c r="F61" t="s">
        <v>1233</v>
      </c>
      <c r="G61" s="8">
        <v>59306</v>
      </c>
      <c r="H61" s="8">
        <v>65378</v>
      </c>
      <c r="I61" s="8">
        <v>41701</v>
      </c>
      <c r="J61" s="9">
        <v>75837</v>
      </c>
      <c r="K61" s="8">
        <f>SUM(Table1[[#This Row],[Sales (Q1)]:[Sales (Q4)]])</f>
        <v>242222</v>
      </c>
      <c r="L61" s="2" t="str">
        <f>IF(Table1[[#This Row],[Employee Total Sales]]&gt;=200000,"High Performer",IF(Table1[[#This Row],[Employee Total Sales]]&gt;=180000,"Mid Performer","Low Performer"))</f>
        <v>High Performer</v>
      </c>
      <c r="M61" s="2" t="str">
        <f>IF(Table1[[#This Row],[Sales Performance]]="High Performer","Eligible for Promotion",IF(Table1[[#This Row],[Sales Performance]]="Low Performer","Review Cause Effect","Room For Growth"))</f>
        <v>Eligible for Promotion</v>
      </c>
    </row>
    <row r="62" spans="1:13" x14ac:dyDescent="0.35">
      <c r="A62">
        <v>323</v>
      </c>
      <c r="B62" t="s">
        <v>256</v>
      </c>
      <c r="C62" t="s">
        <v>39</v>
      </c>
      <c r="D62" t="s">
        <v>12</v>
      </c>
      <c r="E62" s="14" t="s">
        <v>578</v>
      </c>
      <c r="F62" t="s">
        <v>1234</v>
      </c>
      <c r="G62" s="8">
        <v>33309</v>
      </c>
      <c r="H62" s="8">
        <v>60669</v>
      </c>
      <c r="I62" s="8">
        <v>76940</v>
      </c>
      <c r="J62" s="9">
        <v>71178</v>
      </c>
      <c r="K62" s="8">
        <f>SUM(Table1[[#This Row],[Sales (Q1)]:[Sales (Q4)]])</f>
        <v>242096</v>
      </c>
      <c r="L62" s="2" t="str">
        <f>IF(Table1[[#This Row],[Employee Total Sales]]&gt;=200000,"High Performer",IF(Table1[[#This Row],[Employee Total Sales]]&gt;=180000,"Mid Performer","Low Performer"))</f>
        <v>High Performer</v>
      </c>
      <c r="M62" s="2" t="str">
        <f>IF(Table1[[#This Row],[Sales Performance]]="High Performer","Eligible for Promotion",IF(Table1[[#This Row],[Sales Performance]]="Low Performer","Review Cause Effect","Room For Growth"))</f>
        <v>Eligible for Promotion</v>
      </c>
    </row>
    <row r="63" spans="1:13" x14ac:dyDescent="0.35">
      <c r="A63">
        <v>521</v>
      </c>
      <c r="B63" t="s">
        <v>419</v>
      </c>
      <c r="C63" t="s">
        <v>11</v>
      </c>
      <c r="D63" t="s">
        <v>20</v>
      </c>
      <c r="E63" s="14" t="s">
        <v>1706</v>
      </c>
      <c r="F63" t="s">
        <v>1014</v>
      </c>
      <c r="G63" s="8">
        <v>74710</v>
      </c>
      <c r="H63" s="8">
        <v>73028</v>
      </c>
      <c r="I63" s="8">
        <v>51042</v>
      </c>
      <c r="J63" s="9">
        <v>42368</v>
      </c>
      <c r="K63" s="8">
        <f>SUM(Table1[[#This Row],[Sales (Q1)]:[Sales (Q4)]])</f>
        <v>241148</v>
      </c>
      <c r="L63" s="2" t="str">
        <f>IF(Table1[[#This Row],[Employee Total Sales]]&gt;=200000,"High Performer",IF(Table1[[#This Row],[Employee Total Sales]]&gt;=180000,"Mid Performer","Low Performer"))</f>
        <v>High Performer</v>
      </c>
      <c r="M63" s="2" t="str">
        <f>IF(Table1[[#This Row],[Sales Performance]]="High Performer","Eligible for Promotion",IF(Table1[[#This Row],[Sales Performance]]="Low Performer","Review Cause Effect","Room For Growth"))</f>
        <v>Eligible for Promotion</v>
      </c>
    </row>
    <row r="64" spans="1:13" x14ac:dyDescent="0.35">
      <c r="A64">
        <v>551</v>
      </c>
      <c r="B64" t="s">
        <v>57</v>
      </c>
      <c r="C64" t="s">
        <v>32</v>
      </c>
      <c r="D64" t="s">
        <v>12</v>
      </c>
      <c r="E64" s="14" t="s">
        <v>1071</v>
      </c>
      <c r="F64" t="s">
        <v>1236</v>
      </c>
      <c r="G64" s="8">
        <v>53926</v>
      </c>
      <c r="H64" s="8">
        <v>58432</v>
      </c>
      <c r="I64" s="8">
        <v>63101</v>
      </c>
      <c r="J64" s="9">
        <v>64453</v>
      </c>
      <c r="K64" s="8">
        <f>SUM(Table1[[#This Row],[Sales (Q1)]:[Sales (Q4)]])</f>
        <v>239912</v>
      </c>
      <c r="L64" s="2" t="str">
        <f>IF(Table1[[#This Row],[Employee Total Sales]]&gt;=200000,"High Performer",IF(Table1[[#This Row],[Employee Total Sales]]&gt;=180000,"Mid Performer","Low Performer"))</f>
        <v>High Performer</v>
      </c>
      <c r="M64" s="2" t="str">
        <f>IF(Table1[[#This Row],[Sales Performance]]="High Performer","Eligible for Promotion",IF(Table1[[#This Row],[Sales Performance]]="Low Performer","Review Cause Effect","Room For Growth"))</f>
        <v>Eligible for Promotion</v>
      </c>
    </row>
    <row r="65" spans="1:13" x14ac:dyDescent="0.35">
      <c r="A65">
        <v>454</v>
      </c>
      <c r="B65" t="s">
        <v>882</v>
      </c>
      <c r="C65" t="s">
        <v>16</v>
      </c>
      <c r="D65" t="s">
        <v>20</v>
      </c>
      <c r="E65" s="14" t="s">
        <v>1707</v>
      </c>
      <c r="F65" t="s">
        <v>1237</v>
      </c>
      <c r="G65" s="8">
        <v>32343</v>
      </c>
      <c r="H65" s="8">
        <v>78451</v>
      </c>
      <c r="I65" s="8">
        <v>77932</v>
      </c>
      <c r="J65" s="9">
        <v>50007</v>
      </c>
      <c r="K65" s="8">
        <f>SUM(Table1[[#This Row],[Sales (Q1)]:[Sales (Q4)]])</f>
        <v>238733</v>
      </c>
      <c r="L65" s="2" t="str">
        <f>IF(Table1[[#This Row],[Employee Total Sales]]&gt;=200000,"High Performer",IF(Table1[[#This Row],[Employee Total Sales]]&gt;=180000,"Mid Performer","Low Performer"))</f>
        <v>High Performer</v>
      </c>
      <c r="M65" s="2" t="str">
        <f>IF(Table1[[#This Row],[Sales Performance]]="High Performer","Eligible for Promotion",IF(Table1[[#This Row],[Sales Performance]]="Low Performer","Review Cause Effect","Room For Growth"))</f>
        <v>Eligible for Promotion</v>
      </c>
    </row>
    <row r="66" spans="1:13" x14ac:dyDescent="0.35">
      <c r="A66">
        <v>359</v>
      </c>
      <c r="B66" t="s">
        <v>678</v>
      </c>
      <c r="C66" t="s">
        <v>11</v>
      </c>
      <c r="D66" t="s">
        <v>12</v>
      </c>
      <c r="E66" s="14" t="s">
        <v>679</v>
      </c>
      <c r="F66" t="s">
        <v>1238</v>
      </c>
      <c r="G66" s="8">
        <v>57741</v>
      </c>
      <c r="H66" s="8">
        <v>62589</v>
      </c>
      <c r="I66" s="8">
        <v>62541</v>
      </c>
      <c r="J66" s="9">
        <v>55287</v>
      </c>
      <c r="K66" s="8">
        <f>SUM(Table1[[#This Row],[Sales (Q1)]:[Sales (Q4)]])</f>
        <v>238158</v>
      </c>
      <c r="L66" s="2" t="str">
        <f>IF(Table1[[#This Row],[Employee Total Sales]]&gt;=200000,"High Performer",IF(Table1[[#This Row],[Employee Total Sales]]&gt;=180000,"Mid Performer","Low Performer"))</f>
        <v>High Performer</v>
      </c>
      <c r="M66" s="2" t="str">
        <f>IF(Table1[[#This Row],[Sales Performance]]="High Performer","Eligible for Promotion",IF(Table1[[#This Row],[Sales Performance]]="Low Performer","Review Cause Effect","Room For Growth"))</f>
        <v>Eligible for Promotion</v>
      </c>
    </row>
    <row r="67" spans="1:13" x14ac:dyDescent="0.35">
      <c r="A67">
        <v>203</v>
      </c>
      <c r="B67" t="s">
        <v>308</v>
      </c>
      <c r="C67" t="s">
        <v>11</v>
      </c>
      <c r="D67" t="s">
        <v>12</v>
      </c>
      <c r="E67" s="14" t="s">
        <v>1239</v>
      </c>
      <c r="F67" t="s">
        <v>1240</v>
      </c>
      <c r="G67" s="8">
        <v>38331</v>
      </c>
      <c r="H67" s="8">
        <v>74087</v>
      </c>
      <c r="I67" s="8">
        <v>60844</v>
      </c>
      <c r="J67" s="9">
        <v>64590</v>
      </c>
      <c r="K67" s="8">
        <f>SUM(Table1[[#This Row],[Sales (Q1)]:[Sales (Q4)]])</f>
        <v>237852</v>
      </c>
      <c r="L67" s="2" t="str">
        <f>IF(Table1[[#This Row],[Employee Total Sales]]&gt;=200000,"High Performer",IF(Table1[[#This Row],[Employee Total Sales]]&gt;=180000,"Mid Performer","Low Performer"))</f>
        <v>High Performer</v>
      </c>
      <c r="M67" s="2" t="str">
        <f>IF(Table1[[#This Row],[Sales Performance]]="High Performer","Eligible for Promotion",IF(Table1[[#This Row],[Sales Performance]]="Low Performer","Review Cause Effect","Room For Growth"))</f>
        <v>Eligible for Promotion</v>
      </c>
    </row>
    <row r="68" spans="1:13" x14ac:dyDescent="0.35">
      <c r="A68">
        <v>384</v>
      </c>
      <c r="B68" t="s">
        <v>452</v>
      </c>
      <c r="C68" t="s">
        <v>16</v>
      </c>
      <c r="D68" t="s">
        <v>12</v>
      </c>
      <c r="E68" s="14" t="s">
        <v>1241</v>
      </c>
      <c r="F68" t="s">
        <v>1242</v>
      </c>
      <c r="G68" s="8">
        <v>52887</v>
      </c>
      <c r="H68" s="8">
        <v>48474</v>
      </c>
      <c r="I68" s="8">
        <v>70713</v>
      </c>
      <c r="J68" s="9">
        <v>65735</v>
      </c>
      <c r="K68" s="8">
        <f>SUM(Table1[[#This Row],[Sales (Q1)]:[Sales (Q4)]])</f>
        <v>237809</v>
      </c>
      <c r="L68" s="2" t="str">
        <f>IF(Table1[[#This Row],[Employee Total Sales]]&gt;=200000,"High Performer",IF(Table1[[#This Row],[Employee Total Sales]]&gt;=180000,"Mid Performer","Low Performer"))</f>
        <v>High Performer</v>
      </c>
      <c r="M68" s="2" t="str">
        <f>IF(Table1[[#This Row],[Sales Performance]]="High Performer","Eligible for Promotion",IF(Table1[[#This Row],[Sales Performance]]="Low Performer","Review Cause Effect","Room For Growth"))</f>
        <v>Eligible for Promotion</v>
      </c>
    </row>
    <row r="69" spans="1:13" x14ac:dyDescent="0.35">
      <c r="A69">
        <v>220</v>
      </c>
      <c r="B69" t="s">
        <v>282</v>
      </c>
      <c r="C69" t="s">
        <v>11</v>
      </c>
      <c r="D69" t="s">
        <v>12</v>
      </c>
      <c r="E69" s="14" t="s">
        <v>353</v>
      </c>
      <c r="F69" t="s">
        <v>1243</v>
      </c>
      <c r="G69" s="8">
        <v>50343</v>
      </c>
      <c r="H69" s="8">
        <v>64138</v>
      </c>
      <c r="I69" s="8">
        <v>67126</v>
      </c>
      <c r="J69" s="9">
        <v>55680</v>
      </c>
      <c r="K69" s="8">
        <f>SUM(Table1[[#This Row],[Sales (Q1)]:[Sales (Q4)]])</f>
        <v>237287</v>
      </c>
      <c r="L69" s="2" t="str">
        <f>IF(Table1[[#This Row],[Employee Total Sales]]&gt;=200000,"High Performer",IF(Table1[[#This Row],[Employee Total Sales]]&gt;=180000,"Mid Performer","Low Performer"))</f>
        <v>High Performer</v>
      </c>
      <c r="M69" s="2" t="str">
        <f>IF(Table1[[#This Row],[Sales Performance]]="High Performer","Eligible for Promotion",IF(Table1[[#This Row],[Sales Performance]]="Low Performer","Review Cause Effect","Room For Growth"))</f>
        <v>Eligible for Promotion</v>
      </c>
    </row>
    <row r="70" spans="1:13" x14ac:dyDescent="0.35">
      <c r="A70">
        <v>368</v>
      </c>
      <c r="B70" t="s">
        <v>699</v>
      </c>
      <c r="C70" t="s">
        <v>55</v>
      </c>
      <c r="D70" t="s">
        <v>12</v>
      </c>
      <c r="E70" s="14" t="s">
        <v>700</v>
      </c>
      <c r="F70" t="s">
        <v>1244</v>
      </c>
      <c r="G70" s="8">
        <v>40419</v>
      </c>
      <c r="H70" s="8">
        <v>71493</v>
      </c>
      <c r="I70" s="8">
        <v>72393</v>
      </c>
      <c r="J70" s="9">
        <v>52662</v>
      </c>
      <c r="K70" s="8">
        <f>SUM(Table1[[#This Row],[Sales (Q1)]:[Sales (Q4)]])</f>
        <v>236967</v>
      </c>
      <c r="L70" s="2" t="str">
        <f>IF(Table1[[#This Row],[Employee Total Sales]]&gt;=200000,"High Performer",IF(Table1[[#This Row],[Employee Total Sales]]&gt;=180000,"Mid Performer","Low Performer"))</f>
        <v>High Performer</v>
      </c>
      <c r="M70" s="2" t="str">
        <f>IF(Table1[[#This Row],[Sales Performance]]="High Performer","Eligible for Promotion",IF(Table1[[#This Row],[Sales Performance]]="Low Performer","Review Cause Effect","Room For Growth"))</f>
        <v>Eligible for Promotion</v>
      </c>
    </row>
    <row r="71" spans="1:13" x14ac:dyDescent="0.35">
      <c r="A71">
        <v>181</v>
      </c>
      <c r="B71" t="s">
        <v>245</v>
      </c>
      <c r="C71" t="s">
        <v>111</v>
      </c>
      <c r="D71" t="s">
        <v>20</v>
      </c>
      <c r="E71" s="14" t="s">
        <v>246</v>
      </c>
      <c r="F71" t="s">
        <v>1245</v>
      </c>
      <c r="G71" s="8">
        <v>77435</v>
      </c>
      <c r="H71" s="8">
        <v>70220</v>
      </c>
      <c r="I71" s="8">
        <v>60503</v>
      </c>
      <c r="J71" s="9">
        <v>28588</v>
      </c>
      <c r="K71" s="8">
        <f>SUM(Table1[[#This Row],[Sales (Q1)]:[Sales (Q4)]])</f>
        <v>236746</v>
      </c>
      <c r="L71" s="2" t="str">
        <f>IF(Table1[[#This Row],[Employee Total Sales]]&gt;=200000,"High Performer",IF(Table1[[#This Row],[Employee Total Sales]]&gt;=180000,"Mid Performer","Low Performer"))</f>
        <v>High Performer</v>
      </c>
      <c r="M71" s="2" t="str">
        <f>IF(Table1[[#This Row],[Sales Performance]]="High Performer","Eligible for Promotion",IF(Table1[[#This Row],[Sales Performance]]="Low Performer","Review Cause Effect","Room For Growth"))</f>
        <v>Eligible for Promotion</v>
      </c>
    </row>
    <row r="72" spans="1:13" x14ac:dyDescent="0.35">
      <c r="A72">
        <v>278</v>
      </c>
      <c r="B72" t="s">
        <v>495</v>
      </c>
      <c r="C72" t="s">
        <v>32</v>
      </c>
      <c r="D72" t="s">
        <v>12</v>
      </c>
      <c r="E72" s="14" t="s">
        <v>1708</v>
      </c>
      <c r="F72" t="s">
        <v>1246</v>
      </c>
      <c r="G72" s="8">
        <v>75476</v>
      </c>
      <c r="H72" s="8">
        <v>72257</v>
      </c>
      <c r="I72" s="8">
        <v>45455</v>
      </c>
      <c r="J72" s="9">
        <v>43252</v>
      </c>
      <c r="K72" s="8">
        <f>SUM(Table1[[#This Row],[Sales (Q1)]:[Sales (Q4)]])</f>
        <v>236440</v>
      </c>
      <c r="L72" s="2" t="str">
        <f>IF(Table1[[#This Row],[Employee Total Sales]]&gt;=200000,"High Performer",IF(Table1[[#This Row],[Employee Total Sales]]&gt;=180000,"Mid Performer","Low Performer"))</f>
        <v>High Performer</v>
      </c>
      <c r="M72" s="2" t="str">
        <f>IF(Table1[[#This Row],[Sales Performance]]="High Performer","Eligible for Promotion",IF(Table1[[#This Row],[Sales Performance]]="Low Performer","Review Cause Effect","Room For Growth"))</f>
        <v>Eligible for Promotion</v>
      </c>
    </row>
    <row r="73" spans="1:13" x14ac:dyDescent="0.35">
      <c r="A73">
        <v>185</v>
      </c>
      <c r="B73" t="s">
        <v>256</v>
      </c>
      <c r="C73" t="s">
        <v>55</v>
      </c>
      <c r="D73" t="s">
        <v>12</v>
      </c>
      <c r="E73" s="14" t="s">
        <v>257</v>
      </c>
      <c r="F73" t="s">
        <v>258</v>
      </c>
      <c r="G73" s="8">
        <v>69731</v>
      </c>
      <c r="H73" s="8">
        <v>66238</v>
      </c>
      <c r="I73" s="8">
        <v>50743</v>
      </c>
      <c r="J73" s="9">
        <v>49399</v>
      </c>
      <c r="K73" s="8">
        <f>SUM(Table1[[#This Row],[Sales (Q1)]:[Sales (Q4)]])</f>
        <v>236111</v>
      </c>
      <c r="L73" s="2" t="str">
        <f>IF(Table1[[#This Row],[Employee Total Sales]]&gt;=200000,"High Performer",IF(Table1[[#This Row],[Employee Total Sales]]&gt;=180000,"Mid Performer","Low Performer"))</f>
        <v>High Performer</v>
      </c>
      <c r="M73" s="2" t="str">
        <f>IF(Table1[[#This Row],[Sales Performance]]="High Performer","Eligible for Promotion",IF(Table1[[#This Row],[Sales Performance]]="Low Performer","Review Cause Effect","Room For Growth"))</f>
        <v>Eligible for Promotion</v>
      </c>
    </row>
    <row r="74" spans="1:13" x14ac:dyDescent="0.35">
      <c r="A74">
        <v>211</v>
      </c>
      <c r="B74" t="s">
        <v>330</v>
      </c>
      <c r="C74" t="s">
        <v>11</v>
      </c>
      <c r="D74" t="s">
        <v>20</v>
      </c>
      <c r="E74" s="14" t="s">
        <v>331</v>
      </c>
      <c r="F74" t="s">
        <v>1247</v>
      </c>
      <c r="G74" s="8">
        <v>62329</v>
      </c>
      <c r="H74" s="8">
        <v>23877</v>
      </c>
      <c r="I74" s="8">
        <v>79502</v>
      </c>
      <c r="J74" s="9">
        <v>70379</v>
      </c>
      <c r="K74" s="8">
        <f>SUM(Table1[[#This Row],[Sales (Q1)]:[Sales (Q4)]])</f>
        <v>236087</v>
      </c>
      <c r="L74" s="2" t="str">
        <f>IF(Table1[[#This Row],[Employee Total Sales]]&gt;=200000,"High Performer",IF(Table1[[#This Row],[Employee Total Sales]]&gt;=180000,"Mid Performer","Low Performer"))</f>
        <v>High Performer</v>
      </c>
      <c r="M74" s="2" t="str">
        <f>IF(Table1[[#This Row],[Sales Performance]]="High Performer","Eligible for Promotion",IF(Table1[[#This Row],[Sales Performance]]="Low Performer","Review Cause Effect","Room For Growth"))</f>
        <v>Eligible for Promotion</v>
      </c>
    </row>
    <row r="75" spans="1:13" x14ac:dyDescent="0.35">
      <c r="A75">
        <v>383</v>
      </c>
      <c r="B75" t="s">
        <v>104</v>
      </c>
      <c r="C75" t="s">
        <v>55</v>
      </c>
      <c r="D75" t="s">
        <v>12</v>
      </c>
      <c r="E75" s="14" t="s">
        <v>1709</v>
      </c>
      <c r="F75" t="s">
        <v>1248</v>
      </c>
      <c r="G75" s="8">
        <v>49203</v>
      </c>
      <c r="H75" s="8">
        <v>69338</v>
      </c>
      <c r="I75" s="8">
        <v>59002</v>
      </c>
      <c r="J75" s="9">
        <v>57699</v>
      </c>
      <c r="K75" s="8">
        <f>SUM(Table1[[#This Row],[Sales (Q1)]:[Sales (Q4)]])</f>
        <v>235242</v>
      </c>
      <c r="L75" s="2" t="str">
        <f>IF(Table1[[#This Row],[Employee Total Sales]]&gt;=200000,"High Performer",IF(Table1[[#This Row],[Employee Total Sales]]&gt;=180000,"Mid Performer","Low Performer"))</f>
        <v>High Performer</v>
      </c>
      <c r="M75" s="2" t="str">
        <f>IF(Table1[[#This Row],[Sales Performance]]="High Performer","Eligible for Promotion",IF(Table1[[#This Row],[Sales Performance]]="Low Performer","Review Cause Effect","Room For Growth"))</f>
        <v>Eligible for Promotion</v>
      </c>
    </row>
    <row r="76" spans="1:13" x14ac:dyDescent="0.35">
      <c r="A76">
        <v>429</v>
      </c>
      <c r="B76" t="s">
        <v>256</v>
      </c>
      <c r="C76" t="s">
        <v>11</v>
      </c>
      <c r="D76" t="s">
        <v>20</v>
      </c>
      <c r="E76" s="14" t="s">
        <v>578</v>
      </c>
      <c r="F76" t="s">
        <v>1249</v>
      </c>
      <c r="G76" s="8">
        <v>54818</v>
      </c>
      <c r="H76" s="8">
        <v>61774</v>
      </c>
      <c r="I76" s="8">
        <v>43188</v>
      </c>
      <c r="J76" s="9">
        <v>75328</v>
      </c>
      <c r="K76" s="8">
        <f>SUM(Table1[[#This Row],[Sales (Q1)]:[Sales (Q4)]])</f>
        <v>235108</v>
      </c>
      <c r="L76" s="2" t="str">
        <f>IF(Table1[[#This Row],[Employee Total Sales]]&gt;=200000,"High Performer",IF(Table1[[#This Row],[Employee Total Sales]]&gt;=180000,"Mid Performer","Low Performer"))</f>
        <v>High Performer</v>
      </c>
      <c r="M76" s="2" t="str">
        <f>IF(Table1[[#This Row],[Sales Performance]]="High Performer","Eligible for Promotion",IF(Table1[[#This Row],[Sales Performance]]="Low Performer","Review Cause Effect","Room For Growth"))</f>
        <v>Eligible for Promotion</v>
      </c>
    </row>
    <row r="77" spans="1:13" x14ac:dyDescent="0.35">
      <c r="A77">
        <v>176</v>
      </c>
      <c r="B77" t="s">
        <v>232</v>
      </c>
      <c r="C77" t="s">
        <v>27</v>
      </c>
      <c r="D77" t="s">
        <v>12</v>
      </c>
      <c r="E77" s="14" t="s">
        <v>233</v>
      </c>
      <c r="F77" t="s">
        <v>234</v>
      </c>
      <c r="G77" s="8">
        <v>70649</v>
      </c>
      <c r="H77" s="8">
        <v>61153</v>
      </c>
      <c r="I77" s="8">
        <v>52382</v>
      </c>
      <c r="J77" s="9">
        <v>50405</v>
      </c>
      <c r="K77" s="8">
        <f>SUM(Table1[[#This Row],[Sales (Q1)]:[Sales (Q4)]])</f>
        <v>234589</v>
      </c>
      <c r="L77" s="2" t="str">
        <f>IF(Table1[[#This Row],[Employee Total Sales]]&gt;=200000,"High Performer",IF(Table1[[#This Row],[Employee Total Sales]]&gt;=180000,"Mid Performer","Low Performer"))</f>
        <v>High Performer</v>
      </c>
      <c r="M77" s="2" t="str">
        <f>IF(Table1[[#This Row],[Sales Performance]]="High Performer","Eligible for Promotion",IF(Table1[[#This Row],[Sales Performance]]="Low Performer","Review Cause Effect","Room For Growth"))</f>
        <v>Eligible for Promotion</v>
      </c>
    </row>
    <row r="78" spans="1:13" x14ac:dyDescent="0.35">
      <c r="A78">
        <v>367</v>
      </c>
      <c r="B78" t="s">
        <v>515</v>
      </c>
      <c r="C78" t="s">
        <v>11</v>
      </c>
      <c r="D78" t="s">
        <v>12</v>
      </c>
      <c r="E78" s="14" t="s">
        <v>516</v>
      </c>
      <c r="F78" t="s">
        <v>698</v>
      </c>
      <c r="G78" s="8">
        <v>90013</v>
      </c>
      <c r="H78" s="8">
        <v>21271</v>
      </c>
      <c r="I78" s="8">
        <v>99971</v>
      </c>
      <c r="J78" s="9">
        <v>23252</v>
      </c>
      <c r="K78" s="8">
        <f>SUM(Table1[[#This Row],[Sales (Q1)]:[Sales (Q4)]])</f>
        <v>234507</v>
      </c>
      <c r="L78" s="2" t="str">
        <f>IF(Table1[[#This Row],[Employee Total Sales]]&gt;=200000,"High Performer",IF(Table1[[#This Row],[Employee Total Sales]]&gt;=180000,"Mid Performer","Low Performer"))</f>
        <v>High Performer</v>
      </c>
      <c r="M78" s="2" t="str">
        <f>IF(Table1[[#This Row],[Sales Performance]]="High Performer","Eligible for Promotion",IF(Table1[[#This Row],[Sales Performance]]="Low Performer","Review Cause Effect","Room For Growth"))</f>
        <v>Eligible for Promotion</v>
      </c>
    </row>
    <row r="79" spans="1:13" x14ac:dyDescent="0.35">
      <c r="A79">
        <v>300</v>
      </c>
      <c r="B79" t="s">
        <v>386</v>
      </c>
      <c r="C79" t="s">
        <v>11</v>
      </c>
      <c r="D79" t="s">
        <v>43</v>
      </c>
      <c r="E79" s="14" t="s">
        <v>807</v>
      </c>
      <c r="F79" t="s">
        <v>1250</v>
      </c>
      <c r="G79" s="8">
        <v>67615</v>
      </c>
      <c r="H79" s="8">
        <v>66751</v>
      </c>
      <c r="I79" s="8">
        <v>34572</v>
      </c>
      <c r="J79" s="9">
        <v>64978</v>
      </c>
      <c r="K79" s="8">
        <f>SUM(Table1[[#This Row],[Sales (Q1)]:[Sales (Q4)]])</f>
        <v>233916</v>
      </c>
      <c r="L79" s="2" t="str">
        <f>IF(Table1[[#This Row],[Employee Total Sales]]&gt;=200000,"High Performer",IF(Table1[[#This Row],[Employee Total Sales]]&gt;=180000,"Mid Performer","Low Performer"))</f>
        <v>High Performer</v>
      </c>
      <c r="M79" s="2" t="str">
        <f>IF(Table1[[#This Row],[Sales Performance]]="High Performer","Eligible for Promotion",IF(Table1[[#This Row],[Sales Performance]]="Low Performer","Review Cause Effect","Room For Growth"))</f>
        <v>Eligible for Promotion</v>
      </c>
    </row>
    <row r="80" spans="1:13" x14ac:dyDescent="0.35">
      <c r="A80">
        <v>425</v>
      </c>
      <c r="B80" t="s">
        <v>143</v>
      </c>
      <c r="C80" t="s">
        <v>111</v>
      </c>
      <c r="D80" t="s">
        <v>28</v>
      </c>
      <c r="E80" s="14" t="s">
        <v>1251</v>
      </c>
      <c r="F80" t="s">
        <v>1252</v>
      </c>
      <c r="G80" s="8">
        <v>65550</v>
      </c>
      <c r="H80" s="8">
        <v>59166</v>
      </c>
      <c r="I80" s="8">
        <v>69114</v>
      </c>
      <c r="J80" s="9">
        <v>39927</v>
      </c>
      <c r="K80" s="8">
        <f>SUM(Table1[[#This Row],[Sales (Q1)]:[Sales (Q4)]])</f>
        <v>233757</v>
      </c>
      <c r="L80" s="2" t="str">
        <f>IF(Table1[[#This Row],[Employee Total Sales]]&gt;=200000,"High Performer",IF(Table1[[#This Row],[Employee Total Sales]]&gt;=180000,"Mid Performer","Low Performer"))</f>
        <v>High Performer</v>
      </c>
      <c r="M80" s="2" t="str">
        <f>IF(Table1[[#This Row],[Sales Performance]]="High Performer","Eligible for Promotion",IF(Table1[[#This Row],[Sales Performance]]="Low Performer","Review Cause Effect","Room For Growth"))</f>
        <v>Eligible for Promotion</v>
      </c>
    </row>
    <row r="81" spans="1:13" x14ac:dyDescent="0.35">
      <c r="A81">
        <v>483</v>
      </c>
      <c r="B81" t="s">
        <v>386</v>
      </c>
      <c r="C81" t="s">
        <v>32</v>
      </c>
      <c r="D81" t="s">
        <v>28</v>
      </c>
      <c r="E81" s="14" t="s">
        <v>807</v>
      </c>
      <c r="F81" t="s">
        <v>1253</v>
      </c>
      <c r="G81" s="8">
        <v>61644</v>
      </c>
      <c r="H81" s="8">
        <v>75530</v>
      </c>
      <c r="I81" s="8">
        <v>71586</v>
      </c>
      <c r="J81" s="9">
        <v>24936</v>
      </c>
      <c r="K81" s="8">
        <f>SUM(Table1[[#This Row],[Sales (Q1)]:[Sales (Q4)]])</f>
        <v>233696</v>
      </c>
      <c r="L81" s="2" t="str">
        <f>IF(Table1[[#This Row],[Employee Total Sales]]&gt;=200000,"High Performer",IF(Table1[[#This Row],[Employee Total Sales]]&gt;=180000,"Mid Performer","Low Performer"))</f>
        <v>High Performer</v>
      </c>
      <c r="M81" s="2" t="str">
        <f>IF(Table1[[#This Row],[Sales Performance]]="High Performer","Eligible for Promotion",IF(Table1[[#This Row],[Sales Performance]]="Low Performer","Review Cause Effect","Room For Growth"))</f>
        <v>Eligible for Promotion</v>
      </c>
    </row>
    <row r="82" spans="1:13" x14ac:dyDescent="0.35">
      <c r="A82">
        <v>242</v>
      </c>
      <c r="B82" t="s">
        <v>404</v>
      </c>
      <c r="C82" t="s">
        <v>32</v>
      </c>
      <c r="D82" t="s">
        <v>20</v>
      </c>
      <c r="E82" s="14" t="s">
        <v>1710</v>
      </c>
      <c r="F82" t="s">
        <v>1254</v>
      </c>
      <c r="G82" s="8">
        <v>70394</v>
      </c>
      <c r="H82" s="8">
        <v>36268</v>
      </c>
      <c r="I82" s="8">
        <v>63096</v>
      </c>
      <c r="J82" s="9">
        <v>63561</v>
      </c>
      <c r="K82" s="8">
        <f>SUM(Table1[[#This Row],[Sales (Q1)]:[Sales (Q4)]])</f>
        <v>233319</v>
      </c>
      <c r="L82" s="2" t="str">
        <f>IF(Table1[[#This Row],[Employee Total Sales]]&gt;=200000,"High Performer",IF(Table1[[#This Row],[Employee Total Sales]]&gt;=180000,"Mid Performer","Low Performer"))</f>
        <v>High Performer</v>
      </c>
      <c r="M82" s="2" t="str">
        <f>IF(Table1[[#This Row],[Sales Performance]]="High Performer","Eligible for Promotion",IF(Table1[[#This Row],[Sales Performance]]="Low Performer","Review Cause Effect","Room For Growth"))</f>
        <v>Eligible for Promotion</v>
      </c>
    </row>
    <row r="83" spans="1:13" x14ac:dyDescent="0.35">
      <c r="A83">
        <v>595</v>
      </c>
      <c r="B83" t="s">
        <v>1152</v>
      </c>
      <c r="C83" t="s">
        <v>16</v>
      </c>
      <c r="D83" t="s">
        <v>28</v>
      </c>
      <c r="E83" s="14" t="s">
        <v>1255</v>
      </c>
      <c r="F83" t="s">
        <v>1256</v>
      </c>
      <c r="G83" s="8">
        <v>79155</v>
      </c>
      <c r="H83" s="8">
        <v>45132</v>
      </c>
      <c r="I83" s="8">
        <v>70220</v>
      </c>
      <c r="J83" s="9">
        <v>38373</v>
      </c>
      <c r="K83" s="8">
        <f>SUM(Table1[[#This Row],[Sales (Q1)]:[Sales (Q4)]])</f>
        <v>232880</v>
      </c>
      <c r="L83" s="2" t="str">
        <f>IF(Table1[[#This Row],[Employee Total Sales]]&gt;=200000,"High Performer",IF(Table1[[#This Row],[Employee Total Sales]]&gt;=180000,"Mid Performer","Low Performer"))</f>
        <v>High Performer</v>
      </c>
      <c r="M83" s="2" t="str">
        <f>IF(Table1[[#This Row],[Sales Performance]]="High Performer","Eligible for Promotion",IF(Table1[[#This Row],[Sales Performance]]="Low Performer","Review Cause Effect","Room For Growth"))</f>
        <v>Eligible for Promotion</v>
      </c>
    </row>
    <row r="84" spans="1:13" x14ac:dyDescent="0.35">
      <c r="A84">
        <v>213</v>
      </c>
      <c r="B84" t="s">
        <v>336</v>
      </c>
      <c r="C84" t="s">
        <v>27</v>
      </c>
      <c r="D84" t="s">
        <v>20</v>
      </c>
      <c r="E84" s="14" t="s">
        <v>337</v>
      </c>
      <c r="F84" t="s">
        <v>1257</v>
      </c>
      <c r="G84" s="8">
        <v>71823</v>
      </c>
      <c r="H84" s="8">
        <v>39334</v>
      </c>
      <c r="I84" s="8">
        <v>57210</v>
      </c>
      <c r="J84" s="9">
        <v>64197</v>
      </c>
      <c r="K84" s="8">
        <f>SUM(Table1[[#This Row],[Sales (Q1)]:[Sales (Q4)]])</f>
        <v>232564</v>
      </c>
      <c r="L84" s="2" t="str">
        <f>IF(Table1[[#This Row],[Employee Total Sales]]&gt;=200000,"High Performer",IF(Table1[[#This Row],[Employee Total Sales]]&gt;=180000,"Mid Performer","Low Performer"))</f>
        <v>High Performer</v>
      </c>
      <c r="M84" s="2" t="str">
        <f>IF(Table1[[#This Row],[Sales Performance]]="High Performer","Eligible for Promotion",IF(Table1[[#This Row],[Sales Performance]]="Low Performer","Review Cause Effect","Room For Growth"))</f>
        <v>Eligible for Promotion</v>
      </c>
    </row>
    <row r="85" spans="1:13" x14ac:dyDescent="0.35">
      <c r="A85">
        <v>466</v>
      </c>
      <c r="B85" t="s">
        <v>212</v>
      </c>
      <c r="C85" t="s">
        <v>32</v>
      </c>
      <c r="D85" t="s">
        <v>28</v>
      </c>
      <c r="E85" s="14" t="s">
        <v>906</v>
      </c>
      <c r="F85" t="s">
        <v>1258</v>
      </c>
      <c r="G85" s="8">
        <v>47493</v>
      </c>
      <c r="H85" s="8">
        <v>61697</v>
      </c>
      <c r="I85" s="8">
        <v>79775</v>
      </c>
      <c r="J85" s="9">
        <v>43329</v>
      </c>
      <c r="K85" s="8">
        <f>SUM(Table1[[#This Row],[Sales (Q1)]:[Sales (Q4)]])</f>
        <v>232294</v>
      </c>
      <c r="L85" s="2" t="str">
        <f>IF(Table1[[#This Row],[Employee Total Sales]]&gt;=200000,"High Performer",IF(Table1[[#This Row],[Employee Total Sales]]&gt;=180000,"Mid Performer","Low Performer"))</f>
        <v>High Performer</v>
      </c>
      <c r="M85" s="2" t="str">
        <f>IF(Table1[[#This Row],[Sales Performance]]="High Performer","Eligible for Promotion",IF(Table1[[#This Row],[Sales Performance]]="Low Performer","Review Cause Effect","Room For Growth"))</f>
        <v>Eligible for Promotion</v>
      </c>
    </row>
    <row r="86" spans="1:13" x14ac:dyDescent="0.35">
      <c r="A86">
        <v>493</v>
      </c>
      <c r="B86" t="s">
        <v>452</v>
      </c>
      <c r="C86" t="s">
        <v>111</v>
      </c>
      <c r="D86" t="s">
        <v>43</v>
      </c>
      <c r="E86" s="14" t="s">
        <v>960</v>
      </c>
      <c r="F86" t="s">
        <v>1259</v>
      </c>
      <c r="G86" s="8">
        <v>68296</v>
      </c>
      <c r="H86" s="8">
        <v>47063</v>
      </c>
      <c r="I86" s="8">
        <v>75126</v>
      </c>
      <c r="J86" s="9">
        <v>41805</v>
      </c>
      <c r="K86" s="8">
        <f>SUM(Table1[[#This Row],[Sales (Q1)]:[Sales (Q4)]])</f>
        <v>232290</v>
      </c>
      <c r="L86" s="2" t="str">
        <f>IF(Table1[[#This Row],[Employee Total Sales]]&gt;=200000,"High Performer",IF(Table1[[#This Row],[Employee Total Sales]]&gt;=180000,"Mid Performer","Low Performer"))</f>
        <v>High Performer</v>
      </c>
      <c r="M86" s="2" t="str">
        <f>IF(Table1[[#This Row],[Sales Performance]]="High Performer","Eligible for Promotion",IF(Table1[[#This Row],[Sales Performance]]="Low Performer","Review Cause Effect","Room For Growth"))</f>
        <v>Eligible for Promotion</v>
      </c>
    </row>
    <row r="87" spans="1:13" x14ac:dyDescent="0.35">
      <c r="A87">
        <v>251</v>
      </c>
      <c r="B87" t="s">
        <v>120</v>
      </c>
      <c r="C87" t="s">
        <v>32</v>
      </c>
      <c r="D87" t="s">
        <v>28</v>
      </c>
      <c r="E87" s="14" t="s">
        <v>428</v>
      </c>
      <c r="F87" t="s">
        <v>1260</v>
      </c>
      <c r="G87" s="8">
        <v>26711</v>
      </c>
      <c r="H87" s="8">
        <v>68233</v>
      </c>
      <c r="I87" s="8">
        <v>74399</v>
      </c>
      <c r="J87" s="9">
        <v>62839</v>
      </c>
      <c r="K87" s="8">
        <f>SUM(Table1[[#This Row],[Sales (Q1)]:[Sales (Q4)]])</f>
        <v>232182</v>
      </c>
      <c r="L87" s="2" t="str">
        <f>IF(Table1[[#This Row],[Employee Total Sales]]&gt;=200000,"High Performer",IF(Table1[[#This Row],[Employee Total Sales]]&gt;=180000,"Mid Performer","Low Performer"))</f>
        <v>High Performer</v>
      </c>
      <c r="M87" s="2" t="str">
        <f>IF(Table1[[#This Row],[Sales Performance]]="High Performer","Eligible for Promotion",IF(Table1[[#This Row],[Sales Performance]]="Low Performer","Review Cause Effect","Room For Growth"))</f>
        <v>Eligible for Promotion</v>
      </c>
    </row>
    <row r="88" spans="1:13" x14ac:dyDescent="0.35">
      <c r="A88">
        <v>319</v>
      </c>
      <c r="B88" t="s">
        <v>199</v>
      </c>
      <c r="C88" t="s">
        <v>32</v>
      </c>
      <c r="D88" t="s">
        <v>20</v>
      </c>
      <c r="E88" s="14" t="s">
        <v>200</v>
      </c>
      <c r="F88" t="s">
        <v>1261</v>
      </c>
      <c r="G88" s="8">
        <v>59911</v>
      </c>
      <c r="H88" s="8">
        <v>65384</v>
      </c>
      <c r="I88" s="8">
        <v>69962</v>
      </c>
      <c r="J88" s="9">
        <v>36268</v>
      </c>
      <c r="K88" s="8">
        <f>SUM(Table1[[#This Row],[Sales (Q1)]:[Sales (Q4)]])</f>
        <v>231525</v>
      </c>
      <c r="L88" s="2" t="str">
        <f>IF(Table1[[#This Row],[Employee Total Sales]]&gt;=200000,"High Performer",IF(Table1[[#This Row],[Employee Total Sales]]&gt;=180000,"Mid Performer","Low Performer"))</f>
        <v>High Performer</v>
      </c>
      <c r="M88" s="2" t="str">
        <f>IF(Table1[[#This Row],[Sales Performance]]="High Performer","Eligible for Promotion",IF(Table1[[#This Row],[Sales Performance]]="Low Performer","Review Cause Effect","Room For Growth"))</f>
        <v>Eligible for Promotion</v>
      </c>
    </row>
    <row r="89" spans="1:13" x14ac:dyDescent="0.35">
      <c r="A89">
        <v>372</v>
      </c>
      <c r="B89" t="s">
        <v>422</v>
      </c>
      <c r="C89" t="s">
        <v>55</v>
      </c>
      <c r="D89" t="s">
        <v>12</v>
      </c>
      <c r="E89" s="14" t="s">
        <v>1262</v>
      </c>
      <c r="F89" t="s">
        <v>709</v>
      </c>
      <c r="G89" s="8">
        <v>40757</v>
      </c>
      <c r="H89" s="8">
        <v>56592</v>
      </c>
      <c r="I89" s="8">
        <v>71679</v>
      </c>
      <c r="J89" s="9">
        <v>62247</v>
      </c>
      <c r="K89" s="8">
        <f>SUM(Table1[[#This Row],[Sales (Q1)]:[Sales (Q4)]])</f>
        <v>231275</v>
      </c>
      <c r="L89" s="2" t="str">
        <f>IF(Table1[[#This Row],[Employee Total Sales]]&gt;=200000,"High Performer",IF(Table1[[#This Row],[Employee Total Sales]]&gt;=180000,"Mid Performer","Low Performer"))</f>
        <v>High Performer</v>
      </c>
      <c r="M89" s="2" t="str">
        <f>IF(Table1[[#This Row],[Sales Performance]]="High Performer","Eligible for Promotion",IF(Table1[[#This Row],[Sales Performance]]="Low Performer","Review Cause Effect","Room For Growth"))</f>
        <v>Eligible for Promotion</v>
      </c>
    </row>
    <row r="90" spans="1:13" x14ac:dyDescent="0.35">
      <c r="A90">
        <v>243</v>
      </c>
      <c r="B90" t="s">
        <v>373</v>
      </c>
      <c r="C90" t="s">
        <v>32</v>
      </c>
      <c r="D90" t="s">
        <v>20</v>
      </c>
      <c r="E90" s="14" t="s">
        <v>407</v>
      </c>
      <c r="F90" t="s">
        <v>1263</v>
      </c>
      <c r="G90" s="8">
        <v>45633</v>
      </c>
      <c r="H90" s="8">
        <v>50347</v>
      </c>
      <c r="I90" s="8">
        <v>70616</v>
      </c>
      <c r="J90" s="9">
        <v>64535</v>
      </c>
      <c r="K90" s="8">
        <f>SUM(Table1[[#This Row],[Sales (Q1)]:[Sales (Q4)]])</f>
        <v>231131</v>
      </c>
      <c r="L90" s="2" t="str">
        <f>IF(Table1[[#This Row],[Employee Total Sales]]&gt;=200000,"High Performer",IF(Table1[[#This Row],[Employee Total Sales]]&gt;=180000,"Mid Performer","Low Performer"))</f>
        <v>High Performer</v>
      </c>
      <c r="M90" s="2" t="str">
        <f>IF(Table1[[#This Row],[Sales Performance]]="High Performer","Eligible for Promotion",IF(Table1[[#This Row],[Sales Performance]]="Low Performer","Review Cause Effect","Room For Growth"))</f>
        <v>Eligible for Promotion</v>
      </c>
    </row>
    <row r="91" spans="1:13" x14ac:dyDescent="0.35">
      <c r="A91">
        <v>343</v>
      </c>
      <c r="B91" t="s">
        <v>642</v>
      </c>
      <c r="C91" t="s">
        <v>39</v>
      </c>
      <c r="D91" t="s">
        <v>28</v>
      </c>
      <c r="E91" s="14" t="s">
        <v>643</v>
      </c>
      <c r="F91" t="s">
        <v>1264</v>
      </c>
      <c r="G91" s="8">
        <v>59309</v>
      </c>
      <c r="H91" s="8">
        <v>22558</v>
      </c>
      <c r="I91" s="8">
        <v>77524</v>
      </c>
      <c r="J91" s="9">
        <v>71371</v>
      </c>
      <c r="K91" s="8">
        <f>SUM(Table1[[#This Row],[Sales (Q1)]:[Sales (Q4)]])</f>
        <v>230762</v>
      </c>
      <c r="L91" s="2" t="str">
        <f>IF(Table1[[#This Row],[Employee Total Sales]]&gt;=200000,"High Performer",IF(Table1[[#This Row],[Employee Total Sales]]&gt;=180000,"Mid Performer","Low Performer"))</f>
        <v>High Performer</v>
      </c>
      <c r="M91" s="2" t="str">
        <f>IF(Table1[[#This Row],[Sales Performance]]="High Performer","Eligible for Promotion",IF(Table1[[#This Row],[Sales Performance]]="Low Performer","Review Cause Effect","Room For Growth"))</f>
        <v>Eligible for Promotion</v>
      </c>
    </row>
    <row r="92" spans="1:13" x14ac:dyDescent="0.35">
      <c r="A92">
        <v>396</v>
      </c>
      <c r="B92" t="s">
        <v>386</v>
      </c>
      <c r="C92" t="s">
        <v>16</v>
      </c>
      <c r="D92" t="s">
        <v>28</v>
      </c>
      <c r="E92" s="14" t="s">
        <v>589</v>
      </c>
      <c r="F92" t="s">
        <v>1265</v>
      </c>
      <c r="G92" s="8">
        <v>45388</v>
      </c>
      <c r="H92" s="8">
        <v>53824</v>
      </c>
      <c r="I92" s="8">
        <v>70145</v>
      </c>
      <c r="J92" s="9">
        <v>61330</v>
      </c>
      <c r="K92" s="8">
        <f>SUM(Table1[[#This Row],[Sales (Q1)]:[Sales (Q4)]])</f>
        <v>230687</v>
      </c>
      <c r="L92" s="2" t="str">
        <f>IF(Table1[[#This Row],[Employee Total Sales]]&gt;=200000,"High Performer",IF(Table1[[#This Row],[Employee Total Sales]]&gt;=180000,"Mid Performer","Low Performer"))</f>
        <v>High Performer</v>
      </c>
      <c r="M92" s="2" t="str">
        <f>IF(Table1[[#This Row],[Sales Performance]]="High Performer","Eligible for Promotion",IF(Table1[[#This Row],[Sales Performance]]="Low Performer","Review Cause Effect","Room For Growth"))</f>
        <v>Eligible for Promotion</v>
      </c>
    </row>
    <row r="93" spans="1:13" x14ac:dyDescent="0.35">
      <c r="A93">
        <v>478</v>
      </c>
      <c r="B93" t="s">
        <v>645</v>
      </c>
      <c r="C93" t="s">
        <v>11</v>
      </c>
      <c r="D93" t="s">
        <v>20</v>
      </c>
      <c r="E93" s="14" t="s">
        <v>1266</v>
      </c>
      <c r="F93" t="s">
        <v>1267</v>
      </c>
      <c r="G93" s="8">
        <v>77679</v>
      </c>
      <c r="H93" s="8">
        <v>79961</v>
      </c>
      <c r="I93" s="8">
        <v>27807</v>
      </c>
      <c r="J93" s="9">
        <v>45141</v>
      </c>
      <c r="K93" s="8">
        <f>SUM(Table1[[#This Row],[Sales (Q1)]:[Sales (Q4)]])</f>
        <v>230588</v>
      </c>
      <c r="L93" s="2" t="str">
        <f>IF(Table1[[#This Row],[Employee Total Sales]]&gt;=200000,"High Performer",IF(Table1[[#This Row],[Employee Total Sales]]&gt;=180000,"Mid Performer","Low Performer"))</f>
        <v>High Performer</v>
      </c>
      <c r="M93" s="2" t="str">
        <f>IF(Table1[[#This Row],[Sales Performance]]="High Performer","Eligible for Promotion",IF(Table1[[#This Row],[Sales Performance]]="Low Performer","Review Cause Effect","Room For Growth"))</f>
        <v>Eligible for Promotion</v>
      </c>
    </row>
    <row r="94" spans="1:13" x14ac:dyDescent="0.35">
      <c r="A94">
        <v>471</v>
      </c>
      <c r="B94" t="s">
        <v>914</v>
      </c>
      <c r="C94" t="s">
        <v>27</v>
      </c>
      <c r="D94" t="s">
        <v>28</v>
      </c>
      <c r="E94" s="14" t="s">
        <v>915</v>
      </c>
      <c r="F94" t="s">
        <v>1268</v>
      </c>
      <c r="G94" s="8">
        <v>30522</v>
      </c>
      <c r="H94" s="8">
        <v>76042</v>
      </c>
      <c r="I94" s="8">
        <v>52809</v>
      </c>
      <c r="J94" s="9">
        <v>71170</v>
      </c>
      <c r="K94" s="8">
        <f>SUM(Table1[[#This Row],[Sales (Q1)]:[Sales (Q4)]])</f>
        <v>230543</v>
      </c>
      <c r="L94" s="2" t="str">
        <f>IF(Table1[[#This Row],[Employee Total Sales]]&gt;=200000,"High Performer",IF(Table1[[#This Row],[Employee Total Sales]]&gt;=180000,"Mid Performer","Low Performer"))</f>
        <v>High Performer</v>
      </c>
      <c r="M94" s="2" t="str">
        <f>IF(Table1[[#This Row],[Sales Performance]]="High Performer","Eligible for Promotion",IF(Table1[[#This Row],[Sales Performance]]="Low Performer","Review Cause Effect","Room For Growth"))</f>
        <v>Eligible for Promotion</v>
      </c>
    </row>
    <row r="95" spans="1:13" x14ac:dyDescent="0.35">
      <c r="A95">
        <v>541</v>
      </c>
      <c r="B95" t="s">
        <v>389</v>
      </c>
      <c r="C95" t="s">
        <v>11</v>
      </c>
      <c r="D95" t="s">
        <v>43</v>
      </c>
      <c r="E95" s="14" t="s">
        <v>1269</v>
      </c>
      <c r="F95" t="s">
        <v>1270</v>
      </c>
      <c r="G95" s="8">
        <v>55300</v>
      </c>
      <c r="H95" s="8">
        <v>22028</v>
      </c>
      <c r="I95" s="8">
        <v>78495</v>
      </c>
      <c r="J95" s="9">
        <v>74531</v>
      </c>
      <c r="K95" s="8">
        <f>SUM(Table1[[#This Row],[Sales (Q1)]:[Sales (Q4)]])</f>
        <v>230354</v>
      </c>
      <c r="L95" s="2" t="str">
        <f>IF(Table1[[#This Row],[Employee Total Sales]]&gt;=200000,"High Performer",IF(Table1[[#This Row],[Employee Total Sales]]&gt;=180000,"Mid Performer","Low Performer"))</f>
        <v>High Performer</v>
      </c>
      <c r="M95" s="2" t="str">
        <f>IF(Table1[[#This Row],[Sales Performance]]="High Performer","Eligible for Promotion",IF(Table1[[#This Row],[Sales Performance]]="Low Performer","Review Cause Effect","Room For Growth"))</f>
        <v>Eligible for Promotion</v>
      </c>
    </row>
    <row r="96" spans="1:13" x14ac:dyDescent="0.35">
      <c r="A96">
        <v>344</v>
      </c>
      <c r="B96" t="s">
        <v>645</v>
      </c>
      <c r="C96" t="s">
        <v>16</v>
      </c>
      <c r="D96" t="s">
        <v>43</v>
      </c>
      <c r="E96" s="14" t="s">
        <v>1703</v>
      </c>
      <c r="F96" t="s">
        <v>1271</v>
      </c>
      <c r="G96" s="8">
        <v>71744</v>
      </c>
      <c r="H96" s="8">
        <v>70375</v>
      </c>
      <c r="I96" s="8">
        <v>44984</v>
      </c>
      <c r="J96" s="9">
        <v>42971</v>
      </c>
      <c r="K96" s="8">
        <f>SUM(Table1[[#This Row],[Sales (Q1)]:[Sales (Q4)]])</f>
        <v>230074</v>
      </c>
      <c r="L96" s="2" t="str">
        <f>IF(Table1[[#This Row],[Employee Total Sales]]&gt;=200000,"High Performer",IF(Table1[[#This Row],[Employee Total Sales]]&gt;=180000,"Mid Performer","Low Performer"))</f>
        <v>High Performer</v>
      </c>
      <c r="M96" s="2" t="str">
        <f>IF(Table1[[#This Row],[Sales Performance]]="High Performer","Eligible for Promotion",IF(Table1[[#This Row],[Sales Performance]]="Low Performer","Review Cause Effect","Room For Growth"))</f>
        <v>Eligible for Promotion</v>
      </c>
    </row>
    <row r="97" spans="1:13" x14ac:dyDescent="0.35">
      <c r="A97">
        <v>437</v>
      </c>
      <c r="B97" t="s">
        <v>362</v>
      </c>
      <c r="C97" t="s">
        <v>55</v>
      </c>
      <c r="D97" t="s">
        <v>12</v>
      </c>
      <c r="E97" s="14" t="s">
        <v>1272</v>
      </c>
      <c r="F97" t="s">
        <v>1273</v>
      </c>
      <c r="G97" s="8">
        <v>71952</v>
      </c>
      <c r="H97" s="8">
        <v>55425</v>
      </c>
      <c r="I97" s="8">
        <v>62166</v>
      </c>
      <c r="J97" s="9">
        <v>40167</v>
      </c>
      <c r="K97" s="8">
        <f>SUM(Table1[[#This Row],[Sales (Q1)]:[Sales (Q4)]])</f>
        <v>229710</v>
      </c>
      <c r="L97" s="2" t="str">
        <f>IF(Table1[[#This Row],[Employee Total Sales]]&gt;=200000,"High Performer",IF(Table1[[#This Row],[Employee Total Sales]]&gt;=180000,"Mid Performer","Low Performer"))</f>
        <v>High Performer</v>
      </c>
      <c r="M97" s="2" t="str">
        <f>IF(Table1[[#This Row],[Sales Performance]]="High Performer","Eligible for Promotion",IF(Table1[[#This Row],[Sales Performance]]="Low Performer","Review Cause Effect","Room For Growth"))</f>
        <v>Eligible for Promotion</v>
      </c>
    </row>
    <row r="98" spans="1:13" x14ac:dyDescent="0.35">
      <c r="A98">
        <v>316</v>
      </c>
      <c r="B98" t="s">
        <v>259</v>
      </c>
      <c r="C98" t="s">
        <v>27</v>
      </c>
      <c r="D98" t="s">
        <v>12</v>
      </c>
      <c r="E98" s="14" t="s">
        <v>260</v>
      </c>
      <c r="F98" t="s">
        <v>1274</v>
      </c>
      <c r="G98" s="8">
        <v>41756</v>
      </c>
      <c r="H98" s="8">
        <v>56710</v>
      </c>
      <c r="I98" s="8">
        <v>70293</v>
      </c>
      <c r="J98" s="9">
        <v>60616</v>
      </c>
      <c r="K98" s="8">
        <f>SUM(Table1[[#This Row],[Sales (Q1)]:[Sales (Q4)]])</f>
        <v>229375</v>
      </c>
      <c r="L98" s="2" t="str">
        <f>IF(Table1[[#This Row],[Employee Total Sales]]&gt;=200000,"High Performer",IF(Table1[[#This Row],[Employee Total Sales]]&gt;=180000,"Mid Performer","Low Performer"))</f>
        <v>High Performer</v>
      </c>
      <c r="M98" s="2" t="str">
        <f>IF(Table1[[#This Row],[Sales Performance]]="High Performer","Eligible for Promotion",IF(Table1[[#This Row],[Sales Performance]]="Low Performer","Review Cause Effect","Room For Growth"))</f>
        <v>Eligible for Promotion</v>
      </c>
    </row>
    <row r="99" spans="1:13" x14ac:dyDescent="0.35">
      <c r="A99">
        <v>481</v>
      </c>
      <c r="B99" t="s">
        <v>936</v>
      </c>
      <c r="C99" t="s">
        <v>27</v>
      </c>
      <c r="D99" t="s">
        <v>12</v>
      </c>
      <c r="E99" s="14" t="s">
        <v>1275</v>
      </c>
      <c r="F99" t="s">
        <v>1276</v>
      </c>
      <c r="G99" s="8">
        <v>58832</v>
      </c>
      <c r="H99" s="8">
        <v>25566</v>
      </c>
      <c r="I99" s="8">
        <v>79663</v>
      </c>
      <c r="J99" s="9">
        <v>65088</v>
      </c>
      <c r="K99" s="8">
        <f>SUM(Table1[[#This Row],[Sales (Q1)]:[Sales (Q4)]])</f>
        <v>229149</v>
      </c>
      <c r="L99" s="2" t="str">
        <f>IF(Table1[[#This Row],[Employee Total Sales]]&gt;=200000,"High Performer",IF(Table1[[#This Row],[Employee Total Sales]]&gt;=180000,"Mid Performer","Low Performer"))</f>
        <v>High Performer</v>
      </c>
      <c r="M99" s="2" t="str">
        <f>IF(Table1[[#This Row],[Sales Performance]]="High Performer","Eligible for Promotion",IF(Table1[[#This Row],[Sales Performance]]="Low Performer","Review Cause Effect","Room For Growth"))</f>
        <v>Eligible for Promotion</v>
      </c>
    </row>
    <row r="100" spans="1:13" x14ac:dyDescent="0.35">
      <c r="A100">
        <v>382</v>
      </c>
      <c r="B100" t="s">
        <v>321</v>
      </c>
      <c r="C100" t="s">
        <v>39</v>
      </c>
      <c r="D100" t="s">
        <v>20</v>
      </c>
      <c r="E100" s="14" t="s">
        <v>1277</v>
      </c>
      <c r="F100" t="s">
        <v>1278</v>
      </c>
      <c r="G100" s="8">
        <v>47297</v>
      </c>
      <c r="H100" s="8">
        <v>76874</v>
      </c>
      <c r="I100" s="8">
        <v>27899</v>
      </c>
      <c r="J100" s="9">
        <v>77002</v>
      </c>
      <c r="K100" s="8">
        <f>SUM(Table1[[#This Row],[Sales (Q1)]:[Sales (Q4)]])</f>
        <v>229072</v>
      </c>
      <c r="L100" s="2" t="str">
        <f>IF(Table1[[#This Row],[Employee Total Sales]]&gt;=200000,"High Performer",IF(Table1[[#This Row],[Employee Total Sales]]&gt;=180000,"Mid Performer","Low Performer"))</f>
        <v>High Performer</v>
      </c>
      <c r="M100" s="2" t="str">
        <f>IF(Table1[[#This Row],[Sales Performance]]="High Performer","Eligible for Promotion",IF(Table1[[#This Row],[Sales Performance]]="Low Performer","Review Cause Effect","Room For Growth"))</f>
        <v>Eligible for Promotion</v>
      </c>
    </row>
    <row r="101" spans="1:13" x14ac:dyDescent="0.35">
      <c r="A101">
        <v>473</v>
      </c>
      <c r="B101" t="s">
        <v>631</v>
      </c>
      <c r="C101" t="s">
        <v>16</v>
      </c>
      <c r="D101" t="s">
        <v>43</v>
      </c>
      <c r="E101" s="14" t="s">
        <v>1711</v>
      </c>
      <c r="F101" t="s">
        <v>1279</v>
      </c>
      <c r="G101" s="8">
        <v>66185</v>
      </c>
      <c r="H101" s="8">
        <v>38892</v>
      </c>
      <c r="I101" s="8">
        <v>56512</v>
      </c>
      <c r="J101" s="9">
        <v>67325</v>
      </c>
      <c r="K101" s="8">
        <f>SUM(Table1[[#This Row],[Sales (Q1)]:[Sales (Q4)]])</f>
        <v>228914</v>
      </c>
      <c r="L101" s="2" t="str">
        <f>IF(Table1[[#This Row],[Employee Total Sales]]&gt;=200000,"High Performer",IF(Table1[[#This Row],[Employee Total Sales]]&gt;=180000,"Mid Performer","Low Performer"))</f>
        <v>High Performer</v>
      </c>
      <c r="M101" s="2" t="str">
        <f>IF(Table1[[#This Row],[Sales Performance]]="High Performer","Eligible for Promotion",IF(Table1[[#This Row],[Sales Performance]]="Low Performer","Review Cause Effect","Room For Growth"))</f>
        <v>Eligible for Promotion</v>
      </c>
    </row>
    <row r="102" spans="1:13" x14ac:dyDescent="0.35">
      <c r="A102">
        <v>334</v>
      </c>
      <c r="B102" t="s">
        <v>370</v>
      </c>
      <c r="C102" t="s">
        <v>32</v>
      </c>
      <c r="D102" t="s">
        <v>12</v>
      </c>
      <c r="E102" s="14" t="s">
        <v>623</v>
      </c>
      <c r="F102" t="s">
        <v>1280</v>
      </c>
      <c r="G102" s="8">
        <v>77533</v>
      </c>
      <c r="H102" s="8">
        <v>51454</v>
      </c>
      <c r="I102" s="8">
        <v>50333</v>
      </c>
      <c r="J102" s="9">
        <v>49186</v>
      </c>
      <c r="K102" s="8">
        <f>SUM(Table1[[#This Row],[Sales (Q1)]:[Sales (Q4)]])</f>
        <v>228506</v>
      </c>
      <c r="L102" s="2" t="str">
        <f>IF(Table1[[#This Row],[Employee Total Sales]]&gt;=200000,"High Performer",IF(Table1[[#This Row],[Employee Total Sales]]&gt;=180000,"Mid Performer","Low Performer"))</f>
        <v>High Performer</v>
      </c>
      <c r="M102" s="2" t="str">
        <f>IF(Table1[[#This Row],[Sales Performance]]="High Performer","Eligible for Promotion",IF(Table1[[#This Row],[Sales Performance]]="Low Performer","Review Cause Effect","Room For Growth"))</f>
        <v>Eligible for Promotion</v>
      </c>
    </row>
    <row r="103" spans="1:13" x14ac:dyDescent="0.35">
      <c r="A103">
        <v>443</v>
      </c>
      <c r="B103" t="s">
        <v>855</v>
      </c>
      <c r="C103" t="s">
        <v>111</v>
      </c>
      <c r="D103" t="s">
        <v>20</v>
      </c>
      <c r="E103" s="14" t="s">
        <v>856</v>
      </c>
      <c r="F103" t="s">
        <v>1281</v>
      </c>
      <c r="G103" s="8">
        <v>70484</v>
      </c>
      <c r="H103" s="8">
        <v>61055</v>
      </c>
      <c r="I103" s="8">
        <v>63209</v>
      </c>
      <c r="J103" s="9">
        <v>33638</v>
      </c>
      <c r="K103" s="8">
        <f>SUM(Table1[[#This Row],[Sales (Q1)]:[Sales (Q4)]])</f>
        <v>228386</v>
      </c>
      <c r="L103" s="2" t="str">
        <f>IF(Table1[[#This Row],[Employee Total Sales]]&gt;=200000,"High Performer",IF(Table1[[#This Row],[Employee Total Sales]]&gt;=180000,"Mid Performer","Low Performer"))</f>
        <v>High Performer</v>
      </c>
      <c r="M103" s="2" t="str">
        <f>IF(Table1[[#This Row],[Sales Performance]]="High Performer","Eligible for Promotion",IF(Table1[[#This Row],[Sales Performance]]="Low Performer","Review Cause Effect","Room For Growth"))</f>
        <v>Eligible for Promotion</v>
      </c>
    </row>
    <row r="104" spans="1:13" x14ac:dyDescent="0.35">
      <c r="A104">
        <v>322</v>
      </c>
      <c r="B104" t="s">
        <v>594</v>
      </c>
      <c r="C104" t="s">
        <v>111</v>
      </c>
      <c r="D104" t="s">
        <v>43</v>
      </c>
      <c r="E104" s="14" t="s">
        <v>595</v>
      </c>
      <c r="F104" t="s">
        <v>1282</v>
      </c>
      <c r="G104" s="8">
        <v>26716</v>
      </c>
      <c r="H104" s="8">
        <v>60377</v>
      </c>
      <c r="I104" s="8">
        <v>76887</v>
      </c>
      <c r="J104" s="9">
        <v>64271</v>
      </c>
      <c r="K104" s="8">
        <f>SUM(Table1[[#This Row],[Sales (Q1)]:[Sales (Q4)]])</f>
        <v>228251</v>
      </c>
      <c r="L104" s="2" t="str">
        <f>IF(Table1[[#This Row],[Employee Total Sales]]&gt;=200000,"High Performer",IF(Table1[[#This Row],[Employee Total Sales]]&gt;=180000,"Mid Performer","Low Performer"))</f>
        <v>High Performer</v>
      </c>
      <c r="M104" s="2" t="str">
        <f>IF(Table1[[#This Row],[Sales Performance]]="High Performer","Eligible for Promotion",IF(Table1[[#This Row],[Sales Performance]]="Low Performer","Review Cause Effect","Room For Growth"))</f>
        <v>Eligible for Promotion</v>
      </c>
    </row>
    <row r="105" spans="1:13" x14ac:dyDescent="0.35">
      <c r="A105">
        <v>505</v>
      </c>
      <c r="B105" t="s">
        <v>204</v>
      </c>
      <c r="C105" t="s">
        <v>27</v>
      </c>
      <c r="D105" t="s">
        <v>12</v>
      </c>
      <c r="E105" s="14" t="s">
        <v>980</v>
      </c>
      <c r="F105" t="s">
        <v>1283</v>
      </c>
      <c r="G105" s="8">
        <v>49694</v>
      </c>
      <c r="H105" s="8">
        <v>41293</v>
      </c>
      <c r="I105" s="8">
        <v>67942</v>
      </c>
      <c r="J105" s="9">
        <v>68124</v>
      </c>
      <c r="K105" s="8">
        <f>SUM(Table1[[#This Row],[Sales (Q1)]:[Sales (Q4)]])</f>
        <v>227053</v>
      </c>
      <c r="L105" s="2" t="str">
        <f>IF(Table1[[#This Row],[Employee Total Sales]]&gt;=200000,"High Performer",IF(Table1[[#This Row],[Employee Total Sales]]&gt;=180000,"Mid Performer","Low Performer"))</f>
        <v>High Performer</v>
      </c>
      <c r="M105" s="2" t="str">
        <f>IF(Table1[[#This Row],[Sales Performance]]="High Performer","Eligible for Promotion",IF(Table1[[#This Row],[Sales Performance]]="Low Performer","Review Cause Effect","Room For Growth"))</f>
        <v>Eligible for Promotion</v>
      </c>
    </row>
    <row r="106" spans="1:13" x14ac:dyDescent="0.35">
      <c r="A106">
        <v>155</v>
      </c>
      <c r="B106" t="s">
        <v>114</v>
      </c>
      <c r="C106" t="s">
        <v>16</v>
      </c>
      <c r="D106" t="s">
        <v>12</v>
      </c>
      <c r="E106" s="14" t="s">
        <v>1284</v>
      </c>
      <c r="F106" t="s">
        <v>1285</v>
      </c>
      <c r="G106" s="8">
        <v>65240</v>
      </c>
      <c r="H106" s="8">
        <v>36390</v>
      </c>
      <c r="I106" s="8">
        <v>49939</v>
      </c>
      <c r="J106" s="9">
        <v>75397</v>
      </c>
      <c r="K106" s="8">
        <f>SUM(Table1[[#This Row],[Sales (Q1)]:[Sales (Q4)]])</f>
        <v>226966</v>
      </c>
      <c r="L106" s="2" t="str">
        <f>IF(Table1[[#This Row],[Employee Total Sales]]&gt;=200000,"High Performer",IF(Table1[[#This Row],[Employee Total Sales]]&gt;=180000,"Mid Performer","Low Performer"))</f>
        <v>High Performer</v>
      </c>
      <c r="M106" s="2" t="str">
        <f>IF(Table1[[#This Row],[Sales Performance]]="High Performer","Eligible for Promotion",IF(Table1[[#This Row],[Sales Performance]]="Low Performer","Review Cause Effect","Room For Growth"))</f>
        <v>Eligible for Promotion</v>
      </c>
    </row>
    <row r="107" spans="1:13" x14ac:dyDescent="0.35">
      <c r="A107">
        <v>417</v>
      </c>
      <c r="B107" t="s">
        <v>786</v>
      </c>
      <c r="C107" t="s">
        <v>32</v>
      </c>
      <c r="D107" t="s">
        <v>20</v>
      </c>
      <c r="E107" s="14" t="s">
        <v>802</v>
      </c>
      <c r="F107" t="s">
        <v>1286</v>
      </c>
      <c r="G107" s="8">
        <v>57172</v>
      </c>
      <c r="H107" s="8">
        <v>71598</v>
      </c>
      <c r="I107" s="8">
        <v>42426</v>
      </c>
      <c r="J107" s="9">
        <v>55686</v>
      </c>
      <c r="K107" s="8">
        <f>SUM(Table1[[#This Row],[Sales (Q1)]:[Sales (Q4)]])</f>
        <v>226882</v>
      </c>
      <c r="L107" s="2" t="str">
        <f>IF(Table1[[#This Row],[Employee Total Sales]]&gt;=200000,"High Performer",IF(Table1[[#This Row],[Employee Total Sales]]&gt;=180000,"Mid Performer","Low Performer"))</f>
        <v>High Performer</v>
      </c>
      <c r="M107" s="2" t="str">
        <f>IF(Table1[[#This Row],[Sales Performance]]="High Performer","Eligible for Promotion",IF(Table1[[#This Row],[Sales Performance]]="Low Performer","Review Cause Effect","Room For Growth"))</f>
        <v>Eligible for Promotion</v>
      </c>
    </row>
    <row r="108" spans="1:13" x14ac:dyDescent="0.35">
      <c r="A108">
        <v>463</v>
      </c>
      <c r="B108" t="s">
        <v>812</v>
      </c>
      <c r="C108" t="s">
        <v>27</v>
      </c>
      <c r="D108" t="s">
        <v>28</v>
      </c>
      <c r="E108" s="14" t="s">
        <v>813</v>
      </c>
      <c r="F108" t="s">
        <v>1287</v>
      </c>
      <c r="G108" s="8">
        <v>61864</v>
      </c>
      <c r="H108" s="8">
        <v>79926</v>
      </c>
      <c r="I108" s="8">
        <v>37912</v>
      </c>
      <c r="J108" s="9">
        <v>47165</v>
      </c>
      <c r="K108" s="8">
        <f>SUM(Table1[[#This Row],[Sales (Q1)]:[Sales (Q4)]])</f>
        <v>226867</v>
      </c>
      <c r="L108" s="2" t="str">
        <f>IF(Table1[[#This Row],[Employee Total Sales]]&gt;=200000,"High Performer",IF(Table1[[#This Row],[Employee Total Sales]]&gt;=180000,"Mid Performer","Low Performer"))</f>
        <v>High Performer</v>
      </c>
      <c r="M108" s="2" t="str">
        <f>IF(Table1[[#This Row],[Sales Performance]]="High Performer","Eligible for Promotion",IF(Table1[[#This Row],[Sales Performance]]="Low Performer","Review Cause Effect","Room For Growth"))</f>
        <v>Eligible for Promotion</v>
      </c>
    </row>
    <row r="109" spans="1:13" x14ac:dyDescent="0.35">
      <c r="A109">
        <v>379</v>
      </c>
      <c r="B109" t="s">
        <v>416</v>
      </c>
      <c r="C109" t="s">
        <v>27</v>
      </c>
      <c r="D109" t="s">
        <v>43</v>
      </c>
      <c r="E109" s="14" t="s">
        <v>417</v>
      </c>
      <c r="F109" t="s">
        <v>1288</v>
      </c>
      <c r="G109" s="8">
        <v>47023</v>
      </c>
      <c r="H109" s="8">
        <v>70081</v>
      </c>
      <c r="I109" s="8">
        <v>61500</v>
      </c>
      <c r="J109" s="9">
        <v>48219</v>
      </c>
      <c r="K109" s="8">
        <f>SUM(Table1[[#This Row],[Sales (Q1)]:[Sales (Q4)]])</f>
        <v>226823</v>
      </c>
      <c r="L109" s="2" t="str">
        <f>IF(Table1[[#This Row],[Employee Total Sales]]&gt;=200000,"High Performer",IF(Table1[[#This Row],[Employee Total Sales]]&gt;=180000,"Mid Performer","Low Performer"))</f>
        <v>High Performer</v>
      </c>
      <c r="M109" s="2" t="str">
        <f>IF(Table1[[#This Row],[Sales Performance]]="High Performer","Eligible for Promotion",IF(Table1[[#This Row],[Sales Performance]]="Low Performer","Review Cause Effect","Room For Growth"))</f>
        <v>Eligible for Promotion</v>
      </c>
    </row>
    <row r="110" spans="1:13" x14ac:dyDescent="0.35">
      <c r="A110">
        <v>484</v>
      </c>
      <c r="B110" t="s">
        <v>760</v>
      </c>
      <c r="C110" t="s">
        <v>111</v>
      </c>
      <c r="D110" t="s">
        <v>28</v>
      </c>
      <c r="E110" s="14" t="s">
        <v>761</v>
      </c>
      <c r="F110" t="s">
        <v>1289</v>
      </c>
      <c r="G110" s="8">
        <v>72506</v>
      </c>
      <c r="H110" s="8">
        <v>54803</v>
      </c>
      <c r="I110" s="8">
        <v>51147</v>
      </c>
      <c r="J110" s="9">
        <v>47990</v>
      </c>
      <c r="K110" s="8">
        <f>SUM(Table1[[#This Row],[Sales (Q1)]:[Sales (Q4)]])</f>
        <v>226446</v>
      </c>
      <c r="L110" s="2" t="str">
        <f>IF(Table1[[#This Row],[Employee Total Sales]]&gt;=200000,"High Performer",IF(Table1[[#This Row],[Employee Total Sales]]&gt;=180000,"Mid Performer","Low Performer"))</f>
        <v>High Performer</v>
      </c>
      <c r="M110" s="2" t="str">
        <f>IF(Table1[[#This Row],[Sales Performance]]="High Performer","Eligible for Promotion",IF(Table1[[#This Row],[Sales Performance]]="Low Performer","Review Cause Effect","Room For Growth"))</f>
        <v>Eligible for Promotion</v>
      </c>
    </row>
    <row r="111" spans="1:13" x14ac:dyDescent="0.35">
      <c r="A111">
        <v>340</v>
      </c>
      <c r="B111" t="s">
        <v>591</v>
      </c>
      <c r="C111" t="s">
        <v>39</v>
      </c>
      <c r="D111" t="s">
        <v>12</v>
      </c>
      <c r="E111" s="14" t="s">
        <v>717</v>
      </c>
      <c r="F111" t="s">
        <v>637</v>
      </c>
      <c r="G111" s="8">
        <v>58718</v>
      </c>
      <c r="H111" s="8">
        <v>30567</v>
      </c>
      <c r="I111" s="8">
        <v>62418</v>
      </c>
      <c r="J111" s="9">
        <v>74615</v>
      </c>
      <c r="K111" s="8">
        <f>SUM(Table1[[#This Row],[Sales (Q1)]:[Sales (Q4)]])</f>
        <v>226318</v>
      </c>
      <c r="L111" s="2" t="str">
        <f>IF(Table1[[#This Row],[Employee Total Sales]]&gt;=200000,"High Performer",IF(Table1[[#This Row],[Employee Total Sales]]&gt;=180000,"Mid Performer","Low Performer"))</f>
        <v>High Performer</v>
      </c>
      <c r="M111" s="2" t="str">
        <f>IF(Table1[[#This Row],[Sales Performance]]="High Performer","Eligible for Promotion",IF(Table1[[#This Row],[Sales Performance]]="Low Performer","Review Cause Effect","Room For Growth"))</f>
        <v>Eligible for Promotion</v>
      </c>
    </row>
    <row r="112" spans="1:13" x14ac:dyDescent="0.35">
      <c r="A112">
        <v>439</v>
      </c>
      <c r="B112" t="s">
        <v>168</v>
      </c>
      <c r="C112" t="s">
        <v>39</v>
      </c>
      <c r="D112" t="s">
        <v>43</v>
      </c>
      <c r="E112" s="14" t="s">
        <v>169</v>
      </c>
      <c r="F112" t="s">
        <v>1290</v>
      </c>
      <c r="G112" s="8">
        <v>58992</v>
      </c>
      <c r="H112" s="8">
        <v>72374</v>
      </c>
      <c r="I112" s="8">
        <v>60345</v>
      </c>
      <c r="J112" s="9">
        <v>34455</v>
      </c>
      <c r="K112" s="8">
        <f>SUM(Table1[[#This Row],[Sales (Q1)]:[Sales (Q4)]])</f>
        <v>226166</v>
      </c>
      <c r="L112" s="2" t="str">
        <f>IF(Table1[[#This Row],[Employee Total Sales]]&gt;=200000,"High Performer",IF(Table1[[#This Row],[Employee Total Sales]]&gt;=180000,"Mid Performer","Low Performer"))</f>
        <v>High Performer</v>
      </c>
      <c r="M112" s="2" t="str">
        <f>IF(Table1[[#This Row],[Sales Performance]]="High Performer","Eligible for Promotion",IF(Table1[[#This Row],[Sales Performance]]="Low Performer","Review Cause Effect","Room For Growth"))</f>
        <v>Eligible for Promotion</v>
      </c>
    </row>
    <row r="113" spans="1:13" x14ac:dyDescent="0.35">
      <c r="A113">
        <v>127</v>
      </c>
      <c r="B113" t="s">
        <v>95</v>
      </c>
      <c r="C113" t="s">
        <v>39</v>
      </c>
      <c r="D113" t="s">
        <v>43</v>
      </c>
      <c r="E113" s="14" t="s">
        <v>1291</v>
      </c>
      <c r="F113" t="s">
        <v>1292</v>
      </c>
      <c r="G113" s="8">
        <v>56629</v>
      </c>
      <c r="H113" s="8">
        <v>59023</v>
      </c>
      <c r="I113" s="8">
        <v>40794</v>
      </c>
      <c r="J113" s="9">
        <v>69496</v>
      </c>
      <c r="K113" s="8">
        <f>SUM(Table1[[#This Row],[Sales (Q1)]:[Sales (Q4)]])</f>
        <v>225942</v>
      </c>
      <c r="L113" s="2" t="str">
        <f>IF(Table1[[#This Row],[Employee Total Sales]]&gt;=200000,"High Performer",IF(Table1[[#This Row],[Employee Total Sales]]&gt;=180000,"Mid Performer","Low Performer"))</f>
        <v>High Performer</v>
      </c>
      <c r="M113" s="2" t="str">
        <f>IF(Table1[[#This Row],[Sales Performance]]="High Performer","Eligible for Promotion",IF(Table1[[#This Row],[Sales Performance]]="Low Performer","Review Cause Effect","Room For Growth"))</f>
        <v>Eligible for Promotion</v>
      </c>
    </row>
    <row r="114" spans="1:13" x14ac:dyDescent="0.35">
      <c r="A114">
        <v>360</v>
      </c>
      <c r="B114" t="s">
        <v>681</v>
      </c>
      <c r="C114" t="s">
        <v>111</v>
      </c>
      <c r="D114" t="s">
        <v>20</v>
      </c>
      <c r="E114" s="14" t="s">
        <v>1293</v>
      </c>
      <c r="F114" t="s">
        <v>1294</v>
      </c>
      <c r="G114" s="8">
        <v>61371</v>
      </c>
      <c r="H114" s="8">
        <v>60128</v>
      </c>
      <c r="I114" s="8">
        <v>57462</v>
      </c>
      <c r="J114" s="9">
        <v>46527</v>
      </c>
      <c r="K114" s="8">
        <f>SUM(Table1[[#This Row],[Sales (Q1)]:[Sales (Q4)]])</f>
        <v>225488</v>
      </c>
      <c r="L114" s="2" t="str">
        <f>IF(Table1[[#This Row],[Employee Total Sales]]&gt;=200000,"High Performer",IF(Table1[[#This Row],[Employee Total Sales]]&gt;=180000,"Mid Performer","Low Performer"))</f>
        <v>High Performer</v>
      </c>
      <c r="M114" s="2" t="str">
        <f>IF(Table1[[#This Row],[Sales Performance]]="High Performer","Eligible for Promotion",IF(Table1[[#This Row],[Sales Performance]]="Low Performer","Review Cause Effect","Room For Growth"))</f>
        <v>Eligible for Promotion</v>
      </c>
    </row>
    <row r="115" spans="1:13" x14ac:dyDescent="0.35">
      <c r="A115">
        <v>529</v>
      </c>
      <c r="B115" t="s">
        <v>839</v>
      </c>
      <c r="C115" t="s">
        <v>32</v>
      </c>
      <c r="D115" t="s">
        <v>20</v>
      </c>
      <c r="E115" s="14" t="s">
        <v>1203</v>
      </c>
      <c r="F115" t="s">
        <v>1295</v>
      </c>
      <c r="G115" s="8">
        <v>28479</v>
      </c>
      <c r="H115" s="8">
        <v>66171</v>
      </c>
      <c r="I115" s="8">
        <v>53632</v>
      </c>
      <c r="J115" s="9">
        <v>76575</v>
      </c>
      <c r="K115" s="8">
        <f>SUM(Table1[[#This Row],[Sales (Q1)]:[Sales (Q4)]])</f>
        <v>224857</v>
      </c>
      <c r="L115" s="2" t="str">
        <f>IF(Table1[[#This Row],[Employee Total Sales]]&gt;=200000,"High Performer",IF(Table1[[#This Row],[Employee Total Sales]]&gt;=180000,"Mid Performer","Low Performer"))</f>
        <v>High Performer</v>
      </c>
      <c r="M115" s="2" t="str">
        <f>IF(Table1[[#This Row],[Sales Performance]]="High Performer","Eligible for Promotion",IF(Table1[[#This Row],[Sales Performance]]="Low Performer","Review Cause Effect","Room For Growth"))</f>
        <v>Eligible for Promotion</v>
      </c>
    </row>
    <row r="116" spans="1:13" x14ac:dyDescent="0.35">
      <c r="A116">
        <v>418</v>
      </c>
      <c r="B116" t="s">
        <v>804</v>
      </c>
      <c r="C116" t="s">
        <v>11</v>
      </c>
      <c r="D116" t="s">
        <v>20</v>
      </c>
      <c r="E116" s="14" t="s">
        <v>805</v>
      </c>
      <c r="F116" t="s">
        <v>1296</v>
      </c>
      <c r="G116" s="8">
        <v>59207</v>
      </c>
      <c r="H116" s="8">
        <v>27126</v>
      </c>
      <c r="I116" s="8">
        <v>64925</v>
      </c>
      <c r="J116" s="9">
        <v>73350</v>
      </c>
      <c r="K116" s="8">
        <f>SUM(Table1[[#This Row],[Sales (Q1)]:[Sales (Q4)]])</f>
        <v>224608</v>
      </c>
      <c r="L116" s="2" t="str">
        <f>IF(Table1[[#This Row],[Employee Total Sales]]&gt;=200000,"High Performer",IF(Table1[[#This Row],[Employee Total Sales]]&gt;=180000,"Mid Performer","Low Performer"))</f>
        <v>High Performer</v>
      </c>
      <c r="M116" s="2" t="str">
        <f>IF(Table1[[#This Row],[Sales Performance]]="High Performer","Eligible for Promotion",IF(Table1[[#This Row],[Sales Performance]]="Low Performer","Review Cause Effect","Room For Growth"))</f>
        <v>Eligible for Promotion</v>
      </c>
    </row>
    <row r="117" spans="1:13" x14ac:dyDescent="0.35">
      <c r="A117">
        <v>545</v>
      </c>
      <c r="B117" t="s">
        <v>1058</v>
      </c>
      <c r="C117" t="s">
        <v>55</v>
      </c>
      <c r="D117" t="s">
        <v>20</v>
      </c>
      <c r="E117" s="14" t="s">
        <v>1297</v>
      </c>
      <c r="F117" t="s">
        <v>1298</v>
      </c>
      <c r="G117" s="8">
        <v>53898</v>
      </c>
      <c r="H117" s="8">
        <v>69743</v>
      </c>
      <c r="I117" s="8">
        <v>22848</v>
      </c>
      <c r="J117" s="9">
        <v>77920</v>
      </c>
      <c r="K117" s="8">
        <f>SUM(Table1[[#This Row],[Sales (Q1)]:[Sales (Q4)]])</f>
        <v>224409</v>
      </c>
      <c r="L117" s="2" t="str">
        <f>IF(Table1[[#This Row],[Employee Total Sales]]&gt;=200000,"High Performer",IF(Table1[[#This Row],[Employee Total Sales]]&gt;=180000,"Mid Performer","Low Performer"))</f>
        <v>High Performer</v>
      </c>
      <c r="M117" s="2" t="str">
        <f>IF(Table1[[#This Row],[Sales Performance]]="High Performer","Eligible for Promotion",IF(Table1[[#This Row],[Sales Performance]]="Low Performer","Review Cause Effect","Room For Growth"))</f>
        <v>Eligible for Promotion</v>
      </c>
    </row>
    <row r="118" spans="1:13" x14ac:dyDescent="0.35">
      <c r="A118">
        <v>587</v>
      </c>
      <c r="B118" t="s">
        <v>747</v>
      </c>
      <c r="C118" t="s">
        <v>32</v>
      </c>
      <c r="D118" t="s">
        <v>43</v>
      </c>
      <c r="E118" s="14" t="s">
        <v>1137</v>
      </c>
      <c r="F118" t="s">
        <v>1138</v>
      </c>
      <c r="G118" s="8">
        <v>74378</v>
      </c>
      <c r="H118" s="8">
        <v>47975</v>
      </c>
      <c r="I118" s="8">
        <v>36572</v>
      </c>
      <c r="J118" s="9">
        <v>65340</v>
      </c>
      <c r="K118" s="8">
        <f>SUM(Table1[[#This Row],[Sales (Q1)]:[Sales (Q4)]])</f>
        <v>224265</v>
      </c>
      <c r="L118" s="2" t="str">
        <f>IF(Table1[[#This Row],[Employee Total Sales]]&gt;=200000,"High Performer",IF(Table1[[#This Row],[Employee Total Sales]]&gt;=180000,"Mid Performer","Low Performer"))</f>
        <v>High Performer</v>
      </c>
      <c r="M118" s="2" t="str">
        <f>IF(Table1[[#This Row],[Sales Performance]]="High Performer","Eligible for Promotion",IF(Table1[[#This Row],[Sales Performance]]="Low Performer","Review Cause Effect","Room For Growth"))</f>
        <v>Eligible for Promotion</v>
      </c>
    </row>
    <row r="119" spans="1:13" x14ac:dyDescent="0.35">
      <c r="A119">
        <v>222</v>
      </c>
      <c r="B119" t="s">
        <v>358</v>
      </c>
      <c r="C119" t="s">
        <v>11</v>
      </c>
      <c r="D119" t="s">
        <v>28</v>
      </c>
      <c r="E119" s="14" t="s">
        <v>500</v>
      </c>
      <c r="F119" t="s">
        <v>1299</v>
      </c>
      <c r="G119" s="8">
        <v>77426</v>
      </c>
      <c r="H119" s="8">
        <v>29388</v>
      </c>
      <c r="I119" s="8">
        <v>63267</v>
      </c>
      <c r="J119" s="9">
        <v>54160</v>
      </c>
      <c r="K119" s="8">
        <f>SUM(Table1[[#This Row],[Sales (Q1)]:[Sales (Q4)]])</f>
        <v>224241</v>
      </c>
      <c r="L119" s="2" t="str">
        <f>IF(Table1[[#This Row],[Employee Total Sales]]&gt;=200000,"High Performer",IF(Table1[[#This Row],[Employee Total Sales]]&gt;=180000,"Mid Performer","Low Performer"))</f>
        <v>High Performer</v>
      </c>
      <c r="M119" s="2" t="str">
        <f>IF(Table1[[#This Row],[Sales Performance]]="High Performer","Eligible for Promotion",IF(Table1[[#This Row],[Sales Performance]]="Low Performer","Review Cause Effect","Room For Growth"))</f>
        <v>Eligible for Promotion</v>
      </c>
    </row>
    <row r="120" spans="1:13" x14ac:dyDescent="0.35">
      <c r="A120">
        <v>351</v>
      </c>
      <c r="B120" t="s">
        <v>218</v>
      </c>
      <c r="C120" t="s">
        <v>39</v>
      </c>
      <c r="D120" t="s">
        <v>20</v>
      </c>
      <c r="E120" s="14" t="s">
        <v>1712</v>
      </c>
      <c r="F120" t="s">
        <v>1300</v>
      </c>
      <c r="G120" s="8">
        <v>44712</v>
      </c>
      <c r="H120" s="8">
        <v>56907</v>
      </c>
      <c r="I120" s="8">
        <v>51695</v>
      </c>
      <c r="J120" s="9">
        <v>70460</v>
      </c>
      <c r="K120" s="8">
        <f>SUM(Table1[[#This Row],[Sales (Q1)]:[Sales (Q4)]])</f>
        <v>223774</v>
      </c>
      <c r="L120" s="2" t="str">
        <f>IF(Table1[[#This Row],[Employee Total Sales]]&gt;=200000,"High Performer",IF(Table1[[#This Row],[Employee Total Sales]]&gt;=180000,"Mid Performer","Low Performer"))</f>
        <v>High Performer</v>
      </c>
      <c r="M120" s="2" t="str">
        <f>IF(Table1[[#This Row],[Sales Performance]]="High Performer","Eligible for Promotion",IF(Table1[[#This Row],[Sales Performance]]="Low Performer","Review Cause Effect","Room For Growth"))</f>
        <v>Eligible for Promotion</v>
      </c>
    </row>
    <row r="121" spans="1:13" x14ac:dyDescent="0.35">
      <c r="A121">
        <v>378</v>
      </c>
      <c r="B121" t="s">
        <v>193</v>
      </c>
      <c r="C121" t="s">
        <v>11</v>
      </c>
      <c r="D121" t="s">
        <v>43</v>
      </c>
      <c r="E121" s="14" t="s">
        <v>254</v>
      </c>
      <c r="F121" t="s">
        <v>1301</v>
      </c>
      <c r="G121" s="8">
        <v>43459</v>
      </c>
      <c r="H121" s="8">
        <v>64203</v>
      </c>
      <c r="I121" s="8">
        <v>50062</v>
      </c>
      <c r="J121" s="9">
        <v>66042</v>
      </c>
      <c r="K121" s="8">
        <f>SUM(Table1[[#This Row],[Sales (Q1)]:[Sales (Q4)]])</f>
        <v>223766</v>
      </c>
      <c r="L121" s="2" t="str">
        <f>IF(Table1[[#This Row],[Employee Total Sales]]&gt;=200000,"High Performer",IF(Table1[[#This Row],[Employee Total Sales]]&gt;=180000,"Mid Performer","Low Performer"))</f>
        <v>High Performer</v>
      </c>
      <c r="M121" s="2" t="str">
        <f>IF(Table1[[#This Row],[Sales Performance]]="High Performer","Eligible for Promotion",IF(Table1[[#This Row],[Sales Performance]]="Low Performer","Review Cause Effect","Room For Growth"))</f>
        <v>Eligible for Promotion</v>
      </c>
    </row>
    <row r="122" spans="1:13" x14ac:dyDescent="0.35">
      <c r="A122">
        <v>517</v>
      </c>
      <c r="B122" t="s">
        <v>89</v>
      </c>
      <c r="C122" t="s">
        <v>39</v>
      </c>
      <c r="D122" t="s">
        <v>12</v>
      </c>
      <c r="E122" s="14" t="s">
        <v>800</v>
      </c>
      <c r="F122" t="s">
        <v>1302</v>
      </c>
      <c r="G122" s="8">
        <v>65265</v>
      </c>
      <c r="H122" s="8">
        <v>69103</v>
      </c>
      <c r="I122" s="8">
        <v>25648</v>
      </c>
      <c r="J122" s="9">
        <v>63716</v>
      </c>
      <c r="K122" s="8">
        <f>SUM(Table1[[#This Row],[Sales (Q1)]:[Sales (Q4)]])</f>
        <v>223732</v>
      </c>
      <c r="L122" s="2" t="str">
        <f>IF(Table1[[#This Row],[Employee Total Sales]]&gt;=200000,"High Performer",IF(Table1[[#This Row],[Employee Total Sales]]&gt;=180000,"Mid Performer","Low Performer"))</f>
        <v>High Performer</v>
      </c>
      <c r="M122" s="2" t="str">
        <f>IF(Table1[[#This Row],[Sales Performance]]="High Performer","Eligible for Promotion",IF(Table1[[#This Row],[Sales Performance]]="Low Performer","Review Cause Effect","Room For Growth"))</f>
        <v>Eligible for Promotion</v>
      </c>
    </row>
    <row r="123" spans="1:13" x14ac:dyDescent="0.35">
      <c r="A123">
        <v>465</v>
      </c>
      <c r="B123" t="s">
        <v>345</v>
      </c>
      <c r="C123" t="s">
        <v>16</v>
      </c>
      <c r="D123" t="s">
        <v>43</v>
      </c>
      <c r="E123" s="14" t="s">
        <v>1303</v>
      </c>
      <c r="F123" t="s">
        <v>1304</v>
      </c>
      <c r="G123" s="8">
        <v>48578</v>
      </c>
      <c r="H123" s="8">
        <v>76907</v>
      </c>
      <c r="I123" s="8">
        <v>36902</v>
      </c>
      <c r="J123" s="9">
        <v>61156</v>
      </c>
      <c r="K123" s="8">
        <f>SUM(Table1[[#This Row],[Sales (Q1)]:[Sales (Q4)]])</f>
        <v>223543</v>
      </c>
      <c r="L123" s="2" t="str">
        <f>IF(Table1[[#This Row],[Employee Total Sales]]&gt;=200000,"High Performer",IF(Table1[[#This Row],[Employee Total Sales]]&gt;=180000,"Mid Performer","Low Performer"))</f>
        <v>High Performer</v>
      </c>
      <c r="M123" s="2" t="str">
        <f>IF(Table1[[#This Row],[Sales Performance]]="High Performer","Eligible for Promotion",IF(Table1[[#This Row],[Sales Performance]]="Low Performer","Review Cause Effect","Room For Growth"))</f>
        <v>Eligible for Promotion</v>
      </c>
    </row>
    <row r="124" spans="1:13" x14ac:dyDescent="0.35">
      <c r="A124">
        <v>194</v>
      </c>
      <c r="B124" t="s">
        <v>282</v>
      </c>
      <c r="C124" t="s">
        <v>32</v>
      </c>
      <c r="D124" t="s">
        <v>12</v>
      </c>
      <c r="E124" s="14" t="s">
        <v>353</v>
      </c>
      <c r="F124" t="s">
        <v>1305</v>
      </c>
      <c r="G124" s="8">
        <v>70788</v>
      </c>
      <c r="H124" s="8">
        <v>37058</v>
      </c>
      <c r="I124" s="8">
        <v>66139</v>
      </c>
      <c r="J124" s="9">
        <v>49246</v>
      </c>
      <c r="K124" s="8">
        <f>SUM(Table1[[#This Row],[Sales (Q1)]:[Sales (Q4)]])</f>
        <v>223231</v>
      </c>
      <c r="L124" s="2" t="str">
        <f>IF(Table1[[#This Row],[Employee Total Sales]]&gt;=200000,"High Performer",IF(Table1[[#This Row],[Employee Total Sales]]&gt;=180000,"Mid Performer","Low Performer"))</f>
        <v>High Performer</v>
      </c>
      <c r="M124" s="2" t="str">
        <f>IF(Table1[[#This Row],[Sales Performance]]="High Performer","Eligible for Promotion",IF(Table1[[#This Row],[Sales Performance]]="Low Performer","Review Cause Effect","Room For Growth"))</f>
        <v>Eligible for Promotion</v>
      </c>
    </row>
    <row r="125" spans="1:13" x14ac:dyDescent="0.35">
      <c r="A125">
        <v>518</v>
      </c>
      <c r="B125" t="s">
        <v>591</v>
      </c>
      <c r="C125" t="s">
        <v>39</v>
      </c>
      <c r="D125" t="s">
        <v>43</v>
      </c>
      <c r="E125" s="14" t="s">
        <v>717</v>
      </c>
      <c r="F125" t="s">
        <v>1306</v>
      </c>
      <c r="G125" s="8">
        <v>77731</v>
      </c>
      <c r="H125" s="8">
        <v>37092</v>
      </c>
      <c r="I125" s="8">
        <v>43399</v>
      </c>
      <c r="J125" s="9">
        <v>64363</v>
      </c>
      <c r="K125" s="8">
        <f>SUM(Table1[[#This Row],[Sales (Q1)]:[Sales (Q4)]])</f>
        <v>222585</v>
      </c>
      <c r="L125" s="2" t="str">
        <f>IF(Table1[[#This Row],[Employee Total Sales]]&gt;=200000,"High Performer",IF(Table1[[#This Row],[Employee Total Sales]]&gt;=180000,"Mid Performer","Low Performer"))</f>
        <v>High Performer</v>
      </c>
      <c r="M125" s="2" t="str">
        <f>IF(Table1[[#This Row],[Sales Performance]]="High Performer","Eligible for Promotion",IF(Table1[[#This Row],[Sales Performance]]="Low Performer","Review Cause Effect","Room For Growth"))</f>
        <v>Eligible for Promotion</v>
      </c>
    </row>
    <row r="126" spans="1:13" x14ac:dyDescent="0.35">
      <c r="A126">
        <v>562</v>
      </c>
      <c r="B126" t="s">
        <v>594</v>
      </c>
      <c r="C126" t="s">
        <v>111</v>
      </c>
      <c r="D126" t="s">
        <v>43</v>
      </c>
      <c r="E126" s="14" t="s">
        <v>1307</v>
      </c>
      <c r="F126" t="s">
        <v>1308</v>
      </c>
      <c r="G126" s="8">
        <v>70467</v>
      </c>
      <c r="H126" s="8">
        <v>39626</v>
      </c>
      <c r="I126" s="8">
        <v>38471</v>
      </c>
      <c r="J126" s="9">
        <v>73890</v>
      </c>
      <c r="K126" s="8">
        <f>SUM(Table1[[#This Row],[Sales (Q1)]:[Sales (Q4)]])</f>
        <v>222454</v>
      </c>
      <c r="L126" s="2" t="str">
        <f>IF(Table1[[#This Row],[Employee Total Sales]]&gt;=200000,"High Performer",IF(Table1[[#This Row],[Employee Total Sales]]&gt;=180000,"Mid Performer","Low Performer"))</f>
        <v>High Performer</v>
      </c>
      <c r="M126" s="2" t="str">
        <f>IF(Table1[[#This Row],[Sales Performance]]="High Performer","Eligible for Promotion",IF(Table1[[#This Row],[Sales Performance]]="Low Performer","Review Cause Effect","Room For Growth"))</f>
        <v>Eligible for Promotion</v>
      </c>
    </row>
    <row r="127" spans="1:13" x14ac:dyDescent="0.35">
      <c r="A127">
        <v>317</v>
      </c>
      <c r="B127" t="s">
        <v>467</v>
      </c>
      <c r="C127" t="s">
        <v>11</v>
      </c>
      <c r="D127" t="s">
        <v>20</v>
      </c>
      <c r="E127" s="14" t="s">
        <v>582</v>
      </c>
      <c r="F127" t="s">
        <v>583</v>
      </c>
      <c r="G127" s="8">
        <v>52271</v>
      </c>
      <c r="H127" s="8">
        <v>29204</v>
      </c>
      <c r="I127" s="8">
        <v>73860</v>
      </c>
      <c r="J127" s="9">
        <v>66979</v>
      </c>
      <c r="K127" s="8">
        <f>SUM(Table1[[#This Row],[Sales (Q1)]:[Sales (Q4)]])</f>
        <v>222314</v>
      </c>
      <c r="L127" s="2" t="str">
        <f>IF(Table1[[#This Row],[Employee Total Sales]]&gt;=200000,"High Performer",IF(Table1[[#This Row],[Employee Total Sales]]&gt;=180000,"Mid Performer","Low Performer"))</f>
        <v>High Performer</v>
      </c>
      <c r="M127" s="2" t="str">
        <f>IF(Table1[[#This Row],[Sales Performance]]="High Performer","Eligible for Promotion",IF(Table1[[#This Row],[Sales Performance]]="Low Performer","Review Cause Effect","Room For Growth"))</f>
        <v>Eligible for Promotion</v>
      </c>
    </row>
    <row r="128" spans="1:13" x14ac:dyDescent="0.35">
      <c r="A128">
        <v>295</v>
      </c>
      <c r="B128" t="s">
        <v>248</v>
      </c>
      <c r="C128" t="s">
        <v>27</v>
      </c>
      <c r="D128" t="s">
        <v>28</v>
      </c>
      <c r="E128" s="14" t="s">
        <v>536</v>
      </c>
      <c r="F128" t="s">
        <v>1309</v>
      </c>
      <c r="G128" s="8">
        <v>44140</v>
      </c>
      <c r="H128" s="8">
        <v>73969</v>
      </c>
      <c r="I128" s="8">
        <v>50423</v>
      </c>
      <c r="J128" s="9">
        <v>53103</v>
      </c>
      <c r="K128" s="8">
        <f>SUM(Table1[[#This Row],[Sales (Q1)]:[Sales (Q4)]])</f>
        <v>221635</v>
      </c>
      <c r="L128" s="2" t="str">
        <f>IF(Table1[[#This Row],[Employee Total Sales]]&gt;=200000,"High Performer",IF(Table1[[#This Row],[Employee Total Sales]]&gt;=180000,"Mid Performer","Low Performer"))</f>
        <v>High Performer</v>
      </c>
      <c r="M128" s="2" t="str">
        <f>IF(Table1[[#This Row],[Sales Performance]]="High Performer","Eligible for Promotion",IF(Table1[[#This Row],[Sales Performance]]="Low Performer","Review Cause Effect","Room For Growth"))</f>
        <v>Eligible for Promotion</v>
      </c>
    </row>
    <row r="129" spans="1:13" x14ac:dyDescent="0.35">
      <c r="A129">
        <v>357</v>
      </c>
      <c r="B129" t="s">
        <v>673</v>
      </c>
      <c r="C129" t="s">
        <v>39</v>
      </c>
      <c r="D129" t="s">
        <v>20</v>
      </c>
      <c r="E129" s="14" t="s">
        <v>1310</v>
      </c>
      <c r="F129" t="s">
        <v>675</v>
      </c>
      <c r="G129" s="8">
        <v>72431</v>
      </c>
      <c r="H129" s="8">
        <v>68401</v>
      </c>
      <c r="I129" s="8">
        <v>29800</v>
      </c>
      <c r="J129" s="9">
        <v>50997</v>
      </c>
      <c r="K129" s="8">
        <f>SUM(Table1[[#This Row],[Sales (Q1)]:[Sales (Q4)]])</f>
        <v>221629</v>
      </c>
      <c r="L129" s="2" t="str">
        <f>IF(Table1[[#This Row],[Employee Total Sales]]&gt;=200000,"High Performer",IF(Table1[[#This Row],[Employee Total Sales]]&gt;=180000,"Mid Performer","Low Performer"))</f>
        <v>High Performer</v>
      </c>
      <c r="M129" s="2" t="str">
        <f>IF(Table1[[#This Row],[Sales Performance]]="High Performer","Eligible for Promotion",IF(Table1[[#This Row],[Sales Performance]]="Low Performer","Review Cause Effect","Room For Growth"))</f>
        <v>Eligible for Promotion</v>
      </c>
    </row>
    <row r="130" spans="1:13" x14ac:dyDescent="0.35">
      <c r="A130">
        <v>391</v>
      </c>
      <c r="B130" t="s">
        <v>747</v>
      </c>
      <c r="C130" t="s">
        <v>39</v>
      </c>
      <c r="D130" t="s">
        <v>12</v>
      </c>
      <c r="E130" s="14" t="s">
        <v>1137</v>
      </c>
      <c r="F130" t="s">
        <v>1311</v>
      </c>
      <c r="G130" s="8">
        <v>40472</v>
      </c>
      <c r="H130" s="8">
        <v>79620</v>
      </c>
      <c r="I130" s="8">
        <v>59673</v>
      </c>
      <c r="J130" s="9">
        <v>41580</v>
      </c>
      <c r="K130" s="8">
        <f>SUM(Table1[[#This Row],[Sales (Q1)]:[Sales (Q4)]])</f>
        <v>221345</v>
      </c>
      <c r="L130" s="2" t="str">
        <f>IF(Table1[[#This Row],[Employee Total Sales]]&gt;=200000,"High Performer",IF(Table1[[#This Row],[Employee Total Sales]]&gt;=180000,"Mid Performer","Low Performer"))</f>
        <v>High Performer</v>
      </c>
      <c r="M130" s="2" t="str">
        <f>IF(Table1[[#This Row],[Sales Performance]]="High Performer","Eligible for Promotion",IF(Table1[[#This Row],[Sales Performance]]="Low Performer","Review Cause Effect","Room For Growth"))</f>
        <v>Eligible for Promotion</v>
      </c>
    </row>
    <row r="131" spans="1:13" x14ac:dyDescent="0.35">
      <c r="A131">
        <v>407</v>
      </c>
      <c r="B131" t="s">
        <v>69</v>
      </c>
      <c r="C131" t="s">
        <v>27</v>
      </c>
      <c r="D131" t="s">
        <v>12</v>
      </c>
      <c r="E131" s="14" t="s">
        <v>1182</v>
      </c>
      <c r="F131" t="s">
        <v>1312</v>
      </c>
      <c r="G131" s="8">
        <v>68666</v>
      </c>
      <c r="H131" s="8">
        <v>23671</v>
      </c>
      <c r="I131" s="8">
        <v>74729</v>
      </c>
      <c r="J131" s="9">
        <v>54149</v>
      </c>
      <c r="K131" s="8">
        <f>SUM(Table1[[#This Row],[Sales (Q1)]:[Sales (Q4)]])</f>
        <v>221215</v>
      </c>
      <c r="L131" s="2" t="str">
        <f>IF(Table1[[#This Row],[Employee Total Sales]]&gt;=200000,"High Performer",IF(Table1[[#This Row],[Employee Total Sales]]&gt;=180000,"Mid Performer","Low Performer"))</f>
        <v>High Performer</v>
      </c>
      <c r="M131" s="2" t="str">
        <f>IF(Table1[[#This Row],[Sales Performance]]="High Performer","Eligible for Promotion",IF(Table1[[#This Row],[Sales Performance]]="Low Performer","Review Cause Effect","Room For Growth"))</f>
        <v>Eligible for Promotion</v>
      </c>
    </row>
    <row r="132" spans="1:13" x14ac:dyDescent="0.35">
      <c r="A132">
        <v>196</v>
      </c>
      <c r="B132" t="s">
        <v>288</v>
      </c>
      <c r="C132" t="s">
        <v>32</v>
      </c>
      <c r="D132" t="s">
        <v>43</v>
      </c>
      <c r="E132" s="14" t="s">
        <v>289</v>
      </c>
      <c r="F132" t="s">
        <v>1313</v>
      </c>
      <c r="G132" s="8">
        <v>40269</v>
      </c>
      <c r="H132" s="8">
        <v>46093</v>
      </c>
      <c r="I132" s="8">
        <v>66984</v>
      </c>
      <c r="J132" s="9">
        <v>67111</v>
      </c>
      <c r="K132" s="8">
        <f>SUM(Table1[[#This Row],[Sales (Q1)]:[Sales (Q4)]])</f>
        <v>220457</v>
      </c>
      <c r="L132" s="2" t="str">
        <f>IF(Table1[[#This Row],[Employee Total Sales]]&gt;=200000,"High Performer",IF(Table1[[#This Row],[Employee Total Sales]]&gt;=180000,"Mid Performer","Low Performer"))</f>
        <v>High Performer</v>
      </c>
      <c r="M132" s="2" t="str">
        <f>IF(Table1[[#This Row],[Sales Performance]]="High Performer","Eligible for Promotion",IF(Table1[[#This Row],[Sales Performance]]="Low Performer","Review Cause Effect","Room For Growth"))</f>
        <v>Eligible for Promotion</v>
      </c>
    </row>
    <row r="133" spans="1:13" x14ac:dyDescent="0.35">
      <c r="A133">
        <v>143</v>
      </c>
      <c r="B133" t="s">
        <v>143</v>
      </c>
      <c r="C133" t="s">
        <v>39</v>
      </c>
      <c r="D133" t="s">
        <v>12</v>
      </c>
      <c r="E133" s="14" t="s">
        <v>1251</v>
      </c>
      <c r="F133" t="s">
        <v>145</v>
      </c>
      <c r="G133" s="8">
        <v>79533</v>
      </c>
      <c r="H133" s="8">
        <v>37408</v>
      </c>
      <c r="I133" s="8">
        <v>74174</v>
      </c>
      <c r="J133" s="9">
        <v>29321</v>
      </c>
      <c r="K133" s="8">
        <f>SUM(Table1[[#This Row],[Sales (Q1)]:[Sales (Q4)]])</f>
        <v>220436</v>
      </c>
      <c r="L133" s="2" t="str">
        <f>IF(Table1[[#This Row],[Employee Total Sales]]&gt;=200000,"High Performer",IF(Table1[[#This Row],[Employee Total Sales]]&gt;=180000,"Mid Performer","Low Performer"))</f>
        <v>High Performer</v>
      </c>
      <c r="M133" s="2" t="str">
        <f>IF(Table1[[#This Row],[Sales Performance]]="High Performer","Eligible for Promotion",IF(Table1[[#This Row],[Sales Performance]]="Low Performer","Review Cause Effect","Room For Growth"))</f>
        <v>Eligible for Promotion</v>
      </c>
    </row>
    <row r="134" spans="1:13" x14ac:dyDescent="0.35">
      <c r="A134">
        <v>142</v>
      </c>
      <c r="B134" t="s">
        <v>140</v>
      </c>
      <c r="C134" t="s">
        <v>32</v>
      </c>
      <c r="D134" t="s">
        <v>28</v>
      </c>
      <c r="E134" s="14" t="s">
        <v>1713</v>
      </c>
      <c r="F134" t="s">
        <v>1314</v>
      </c>
      <c r="G134" s="8">
        <v>46772</v>
      </c>
      <c r="H134" s="8">
        <v>49524</v>
      </c>
      <c r="I134" s="8">
        <v>65178</v>
      </c>
      <c r="J134" s="9">
        <v>58916</v>
      </c>
      <c r="K134" s="8">
        <f>SUM(Table1[[#This Row],[Sales (Q1)]:[Sales (Q4)]])</f>
        <v>220390</v>
      </c>
      <c r="L134" s="2" t="str">
        <f>IF(Table1[[#This Row],[Employee Total Sales]]&gt;=200000,"High Performer",IF(Table1[[#This Row],[Employee Total Sales]]&gt;=180000,"Mid Performer","Low Performer"))</f>
        <v>High Performer</v>
      </c>
      <c r="M134" s="2" t="str">
        <f>IF(Table1[[#This Row],[Sales Performance]]="High Performer","Eligible for Promotion",IF(Table1[[#This Row],[Sales Performance]]="Low Performer","Review Cause Effect","Room For Growth"))</f>
        <v>Eligible for Promotion</v>
      </c>
    </row>
    <row r="135" spans="1:13" x14ac:dyDescent="0.35">
      <c r="A135">
        <v>459</v>
      </c>
      <c r="B135" t="s">
        <v>419</v>
      </c>
      <c r="C135" t="s">
        <v>55</v>
      </c>
      <c r="D135" t="s">
        <v>28</v>
      </c>
      <c r="E135" s="14" t="s">
        <v>1315</v>
      </c>
      <c r="F135" t="s">
        <v>1316</v>
      </c>
      <c r="G135" s="8">
        <v>69424</v>
      </c>
      <c r="H135" s="8">
        <v>57599</v>
      </c>
      <c r="I135" s="8">
        <v>63705</v>
      </c>
      <c r="J135" s="9">
        <v>29639</v>
      </c>
      <c r="K135" s="8">
        <f>SUM(Table1[[#This Row],[Sales (Q1)]:[Sales (Q4)]])</f>
        <v>220367</v>
      </c>
      <c r="L135" s="2" t="str">
        <f>IF(Table1[[#This Row],[Employee Total Sales]]&gt;=200000,"High Performer",IF(Table1[[#This Row],[Employee Total Sales]]&gt;=180000,"Mid Performer","Low Performer"))</f>
        <v>High Performer</v>
      </c>
      <c r="M135" s="2" t="str">
        <f>IF(Table1[[#This Row],[Sales Performance]]="High Performer","Eligible for Promotion",IF(Table1[[#This Row],[Sales Performance]]="Low Performer","Review Cause Effect","Room For Growth"))</f>
        <v>Eligible for Promotion</v>
      </c>
    </row>
    <row r="136" spans="1:13" x14ac:dyDescent="0.35">
      <c r="A136">
        <v>110</v>
      </c>
      <c r="B136" t="s">
        <v>46</v>
      </c>
      <c r="C136" t="s">
        <v>39</v>
      </c>
      <c r="D136" t="s">
        <v>43</v>
      </c>
      <c r="E136" s="14" t="s">
        <v>47</v>
      </c>
      <c r="F136" t="s">
        <v>1317</v>
      </c>
      <c r="G136" s="8">
        <v>79337</v>
      </c>
      <c r="H136" s="8">
        <v>22058</v>
      </c>
      <c r="I136" s="8">
        <v>76337</v>
      </c>
      <c r="J136" s="9">
        <v>41654</v>
      </c>
      <c r="K136" s="8">
        <f>SUM(Table1[[#This Row],[Sales (Q1)]:[Sales (Q4)]])</f>
        <v>219386</v>
      </c>
      <c r="L136" s="2" t="str">
        <f>IF(Table1[[#This Row],[Employee Total Sales]]&gt;=200000,"High Performer",IF(Table1[[#This Row],[Employee Total Sales]]&gt;=180000,"Mid Performer","Low Performer"))</f>
        <v>High Performer</v>
      </c>
      <c r="M136" s="2" t="str">
        <f>IF(Table1[[#This Row],[Sales Performance]]="High Performer","Eligible for Promotion",IF(Table1[[#This Row],[Sales Performance]]="Low Performer","Review Cause Effect","Room For Growth"))</f>
        <v>Eligible for Promotion</v>
      </c>
    </row>
    <row r="137" spans="1:13" x14ac:dyDescent="0.35">
      <c r="A137">
        <v>190</v>
      </c>
      <c r="B137" t="s">
        <v>271</v>
      </c>
      <c r="C137" t="s">
        <v>27</v>
      </c>
      <c r="D137" t="s">
        <v>43</v>
      </c>
      <c r="E137" s="14" t="s">
        <v>272</v>
      </c>
      <c r="F137" t="s">
        <v>1318</v>
      </c>
      <c r="G137" s="8">
        <v>76740</v>
      </c>
      <c r="H137" s="8">
        <v>62974</v>
      </c>
      <c r="I137" s="8">
        <v>41753</v>
      </c>
      <c r="J137" s="9">
        <v>37905</v>
      </c>
      <c r="K137" s="8">
        <f>SUM(Table1[[#This Row],[Sales (Q1)]:[Sales (Q4)]])</f>
        <v>219372</v>
      </c>
      <c r="L137" s="2" t="str">
        <f>IF(Table1[[#This Row],[Employee Total Sales]]&gt;=200000,"High Performer",IF(Table1[[#This Row],[Employee Total Sales]]&gt;=180000,"Mid Performer","Low Performer"))</f>
        <v>High Performer</v>
      </c>
      <c r="M137" s="2" t="str">
        <f>IF(Table1[[#This Row],[Sales Performance]]="High Performer","Eligible for Promotion",IF(Table1[[#This Row],[Sales Performance]]="Low Performer","Review Cause Effect","Room For Growth"))</f>
        <v>Eligible for Promotion</v>
      </c>
    </row>
    <row r="138" spans="1:13" x14ac:dyDescent="0.35">
      <c r="A138">
        <v>506</v>
      </c>
      <c r="B138" t="s">
        <v>550</v>
      </c>
      <c r="C138" t="s">
        <v>27</v>
      </c>
      <c r="D138" t="s">
        <v>28</v>
      </c>
      <c r="E138" s="14" t="s">
        <v>1319</v>
      </c>
      <c r="F138" t="s">
        <v>983</v>
      </c>
      <c r="G138" s="8">
        <v>70520</v>
      </c>
      <c r="H138" s="8">
        <v>76722</v>
      </c>
      <c r="I138" s="8">
        <v>46143</v>
      </c>
      <c r="J138" s="9">
        <v>25845</v>
      </c>
      <c r="K138" s="8">
        <f>SUM(Table1[[#This Row],[Sales (Q1)]:[Sales (Q4)]])</f>
        <v>219230</v>
      </c>
      <c r="L138" s="2" t="str">
        <f>IF(Table1[[#This Row],[Employee Total Sales]]&gt;=200000,"High Performer",IF(Table1[[#This Row],[Employee Total Sales]]&gt;=180000,"Mid Performer","Low Performer"))</f>
        <v>High Performer</v>
      </c>
      <c r="M138" s="2" t="str">
        <f>IF(Table1[[#This Row],[Sales Performance]]="High Performer","Eligible for Promotion",IF(Table1[[#This Row],[Sales Performance]]="Low Performer","Review Cause Effect","Room For Growth"))</f>
        <v>Eligible for Promotion</v>
      </c>
    </row>
    <row r="139" spans="1:13" x14ac:dyDescent="0.35">
      <c r="A139">
        <v>592</v>
      </c>
      <c r="B139" t="s">
        <v>123</v>
      </c>
      <c r="C139" t="s">
        <v>111</v>
      </c>
      <c r="D139" t="s">
        <v>20</v>
      </c>
      <c r="E139" s="14" t="s">
        <v>1320</v>
      </c>
      <c r="F139" t="s">
        <v>1321</v>
      </c>
      <c r="G139" s="8">
        <v>59446</v>
      </c>
      <c r="H139" s="8">
        <v>28054</v>
      </c>
      <c r="I139" s="8">
        <v>76951</v>
      </c>
      <c r="J139" s="9">
        <v>54775</v>
      </c>
      <c r="K139" s="8">
        <f>SUM(Table1[[#This Row],[Sales (Q1)]:[Sales (Q4)]])</f>
        <v>219226</v>
      </c>
      <c r="L139" s="2" t="str">
        <f>IF(Table1[[#This Row],[Employee Total Sales]]&gt;=200000,"High Performer",IF(Table1[[#This Row],[Employee Total Sales]]&gt;=180000,"Mid Performer","Low Performer"))</f>
        <v>High Performer</v>
      </c>
      <c r="M139" s="2" t="str">
        <f>IF(Table1[[#This Row],[Sales Performance]]="High Performer","Eligible for Promotion",IF(Table1[[#This Row],[Sales Performance]]="Low Performer","Review Cause Effect","Room For Growth"))</f>
        <v>Eligible for Promotion</v>
      </c>
    </row>
    <row r="140" spans="1:13" x14ac:dyDescent="0.35">
      <c r="A140">
        <v>597</v>
      </c>
      <c r="B140" t="s">
        <v>15</v>
      </c>
      <c r="C140" t="s">
        <v>39</v>
      </c>
      <c r="D140" t="s">
        <v>12</v>
      </c>
      <c r="E140" s="14" t="s">
        <v>17</v>
      </c>
      <c r="F140" t="s">
        <v>1157</v>
      </c>
      <c r="G140" s="8">
        <v>75923</v>
      </c>
      <c r="H140" s="8">
        <v>40537</v>
      </c>
      <c r="I140" s="8">
        <v>44916</v>
      </c>
      <c r="J140" s="9">
        <v>57808</v>
      </c>
      <c r="K140" s="8">
        <f>SUM(Table1[[#This Row],[Sales (Q1)]:[Sales (Q4)]])</f>
        <v>219184</v>
      </c>
      <c r="L140" s="2" t="str">
        <f>IF(Table1[[#This Row],[Employee Total Sales]]&gt;=200000,"High Performer",IF(Table1[[#This Row],[Employee Total Sales]]&gt;=180000,"Mid Performer","Low Performer"))</f>
        <v>High Performer</v>
      </c>
      <c r="M140" s="2" t="str">
        <f>IF(Table1[[#This Row],[Sales Performance]]="High Performer","Eligible for Promotion",IF(Table1[[#This Row],[Sales Performance]]="Low Performer","Review Cause Effect","Room For Growth"))</f>
        <v>Eligible for Promotion</v>
      </c>
    </row>
    <row r="141" spans="1:13" x14ac:dyDescent="0.35">
      <c r="A141">
        <v>578</v>
      </c>
      <c r="B141" t="s">
        <v>120</v>
      </c>
      <c r="C141" t="s">
        <v>11</v>
      </c>
      <c r="D141" t="s">
        <v>43</v>
      </c>
      <c r="E141" s="14" t="s">
        <v>428</v>
      </c>
      <c r="F141" t="s">
        <v>1322</v>
      </c>
      <c r="G141" s="8">
        <v>21156</v>
      </c>
      <c r="H141" s="8">
        <v>59880</v>
      </c>
      <c r="I141" s="8">
        <v>79775</v>
      </c>
      <c r="J141" s="9">
        <v>58340</v>
      </c>
      <c r="K141" s="8">
        <f>SUM(Table1[[#This Row],[Sales (Q1)]:[Sales (Q4)]])</f>
        <v>219151</v>
      </c>
      <c r="L141" s="2" t="str">
        <f>IF(Table1[[#This Row],[Employee Total Sales]]&gt;=200000,"High Performer",IF(Table1[[#This Row],[Employee Total Sales]]&gt;=180000,"Mid Performer","Low Performer"))</f>
        <v>High Performer</v>
      </c>
      <c r="M141" s="2" t="str">
        <f>IF(Table1[[#This Row],[Sales Performance]]="High Performer","Eligible for Promotion",IF(Table1[[#This Row],[Sales Performance]]="Low Performer","Review Cause Effect","Room For Growth"))</f>
        <v>Eligible for Promotion</v>
      </c>
    </row>
    <row r="142" spans="1:13" x14ac:dyDescent="0.35">
      <c r="A142">
        <v>188</v>
      </c>
      <c r="B142" t="s">
        <v>265</v>
      </c>
      <c r="C142" t="s">
        <v>32</v>
      </c>
      <c r="D142" t="s">
        <v>28</v>
      </c>
      <c r="E142" s="14" t="s">
        <v>1323</v>
      </c>
      <c r="F142" t="s">
        <v>267</v>
      </c>
      <c r="G142" s="8">
        <v>68034</v>
      </c>
      <c r="H142" s="8">
        <v>63063</v>
      </c>
      <c r="I142" s="8">
        <v>61173</v>
      </c>
      <c r="J142" s="9">
        <v>26793</v>
      </c>
      <c r="K142" s="8">
        <f>SUM(Table1[[#This Row],[Sales (Q1)]:[Sales (Q4)]])</f>
        <v>219063</v>
      </c>
      <c r="L142" s="2" t="str">
        <f>IF(Table1[[#This Row],[Employee Total Sales]]&gt;=200000,"High Performer",IF(Table1[[#This Row],[Employee Total Sales]]&gt;=180000,"Mid Performer","Low Performer"))</f>
        <v>High Performer</v>
      </c>
      <c r="M142" s="2" t="str">
        <f>IF(Table1[[#This Row],[Sales Performance]]="High Performer","Eligible for Promotion",IF(Table1[[#This Row],[Sales Performance]]="Low Performer","Review Cause Effect","Room For Growth"))</f>
        <v>Eligible for Promotion</v>
      </c>
    </row>
    <row r="143" spans="1:13" x14ac:dyDescent="0.35">
      <c r="A143">
        <v>461</v>
      </c>
      <c r="B143" t="s">
        <v>49</v>
      </c>
      <c r="C143" t="s">
        <v>39</v>
      </c>
      <c r="D143" t="s">
        <v>28</v>
      </c>
      <c r="E143" s="14" t="s">
        <v>897</v>
      </c>
      <c r="F143" t="s">
        <v>1324</v>
      </c>
      <c r="G143" s="8">
        <v>46054</v>
      </c>
      <c r="H143" s="8">
        <v>29695</v>
      </c>
      <c r="I143" s="8">
        <v>66921</v>
      </c>
      <c r="J143" s="9">
        <v>75954</v>
      </c>
      <c r="K143" s="8">
        <f>SUM(Table1[[#This Row],[Sales (Q1)]:[Sales (Q4)]])</f>
        <v>218624</v>
      </c>
      <c r="L143" s="2" t="str">
        <f>IF(Table1[[#This Row],[Employee Total Sales]]&gt;=200000,"High Performer",IF(Table1[[#This Row],[Employee Total Sales]]&gt;=180000,"Mid Performer","Low Performer"))</f>
        <v>High Performer</v>
      </c>
      <c r="M143" s="2" t="str">
        <f>IF(Table1[[#This Row],[Sales Performance]]="High Performer","Eligible for Promotion",IF(Table1[[#This Row],[Sales Performance]]="Low Performer","Review Cause Effect","Room For Growth"))</f>
        <v>Eligible for Promotion</v>
      </c>
    </row>
    <row r="144" spans="1:13" x14ac:dyDescent="0.35">
      <c r="A144">
        <v>514</v>
      </c>
      <c r="B144" t="s">
        <v>1001</v>
      </c>
      <c r="C144" t="s">
        <v>39</v>
      </c>
      <c r="D144" t="s">
        <v>43</v>
      </c>
      <c r="E144" s="14" t="s">
        <v>1325</v>
      </c>
      <c r="F144" t="s">
        <v>1326</v>
      </c>
      <c r="G144" s="8">
        <v>74358</v>
      </c>
      <c r="H144" s="8">
        <v>74646</v>
      </c>
      <c r="I144" s="8">
        <v>45672</v>
      </c>
      <c r="J144" s="9">
        <v>23337</v>
      </c>
      <c r="K144" s="8">
        <f>SUM(Table1[[#This Row],[Sales (Q1)]:[Sales (Q4)]])</f>
        <v>218013</v>
      </c>
      <c r="L144" s="2" t="str">
        <f>IF(Table1[[#This Row],[Employee Total Sales]]&gt;=200000,"High Performer",IF(Table1[[#This Row],[Employee Total Sales]]&gt;=180000,"Mid Performer","Low Performer"))</f>
        <v>High Performer</v>
      </c>
      <c r="M144" s="2" t="str">
        <f>IF(Table1[[#This Row],[Sales Performance]]="High Performer","Eligible for Promotion",IF(Table1[[#This Row],[Sales Performance]]="Low Performer","Review Cause Effect","Room For Growth"))</f>
        <v>Eligible for Promotion</v>
      </c>
    </row>
    <row r="145" spans="1:13" x14ac:dyDescent="0.35">
      <c r="A145">
        <v>122</v>
      </c>
      <c r="B145" t="s">
        <v>80</v>
      </c>
      <c r="C145" t="s">
        <v>27</v>
      </c>
      <c r="D145" t="s">
        <v>12</v>
      </c>
      <c r="E145" s="14" t="s">
        <v>81</v>
      </c>
      <c r="F145" t="s">
        <v>1327</v>
      </c>
      <c r="G145" s="8">
        <v>59096</v>
      </c>
      <c r="H145" s="8">
        <v>48479</v>
      </c>
      <c r="I145" s="8">
        <v>42654</v>
      </c>
      <c r="J145" s="9">
        <v>67745</v>
      </c>
      <c r="K145" s="8">
        <f>SUM(Table1[[#This Row],[Sales (Q1)]:[Sales (Q4)]])</f>
        <v>217974</v>
      </c>
      <c r="L145" s="2" t="str">
        <f>IF(Table1[[#This Row],[Employee Total Sales]]&gt;=200000,"High Performer",IF(Table1[[#This Row],[Employee Total Sales]]&gt;=180000,"Mid Performer","Low Performer"))</f>
        <v>High Performer</v>
      </c>
      <c r="M145" s="2" t="str">
        <f>IF(Table1[[#This Row],[Sales Performance]]="High Performer","Eligible for Promotion",IF(Table1[[#This Row],[Sales Performance]]="Low Performer","Review Cause Effect","Room For Growth"))</f>
        <v>Eligible for Promotion</v>
      </c>
    </row>
    <row r="146" spans="1:13" x14ac:dyDescent="0.35">
      <c r="A146">
        <v>448</v>
      </c>
      <c r="B146" t="s">
        <v>868</v>
      </c>
      <c r="C146" t="s">
        <v>32</v>
      </c>
      <c r="D146" t="s">
        <v>43</v>
      </c>
      <c r="E146" s="14" t="s">
        <v>869</v>
      </c>
      <c r="F146" t="s">
        <v>1328</v>
      </c>
      <c r="G146" s="8">
        <v>68246</v>
      </c>
      <c r="H146" s="8">
        <v>77186</v>
      </c>
      <c r="I146" s="8">
        <v>36164</v>
      </c>
      <c r="J146" s="9">
        <v>36241</v>
      </c>
      <c r="K146" s="8">
        <f>SUM(Table1[[#This Row],[Sales (Q1)]:[Sales (Q4)]])</f>
        <v>217837</v>
      </c>
      <c r="L146" s="2" t="str">
        <f>IF(Table1[[#This Row],[Employee Total Sales]]&gt;=200000,"High Performer",IF(Table1[[#This Row],[Employee Total Sales]]&gt;=180000,"Mid Performer","Low Performer"))</f>
        <v>High Performer</v>
      </c>
      <c r="M146" s="2" t="str">
        <f>IF(Table1[[#This Row],[Sales Performance]]="High Performer","Eligible for Promotion",IF(Table1[[#This Row],[Sales Performance]]="Low Performer","Review Cause Effect","Room For Growth"))</f>
        <v>Eligible for Promotion</v>
      </c>
    </row>
    <row r="147" spans="1:13" x14ac:dyDescent="0.35">
      <c r="A147">
        <v>341</v>
      </c>
      <c r="B147" t="s">
        <v>628</v>
      </c>
      <c r="C147" t="s">
        <v>55</v>
      </c>
      <c r="D147" t="s">
        <v>43</v>
      </c>
      <c r="E147" s="14" t="s">
        <v>1714</v>
      </c>
      <c r="F147" t="s">
        <v>1329</v>
      </c>
      <c r="G147" s="8">
        <v>56936</v>
      </c>
      <c r="H147" s="8">
        <v>61787</v>
      </c>
      <c r="I147" s="8">
        <v>21220</v>
      </c>
      <c r="J147" s="9">
        <v>77573</v>
      </c>
      <c r="K147" s="8">
        <f>SUM(Table1[[#This Row],[Sales (Q1)]:[Sales (Q4)]])</f>
        <v>217516</v>
      </c>
      <c r="L147" s="2" t="str">
        <f>IF(Table1[[#This Row],[Employee Total Sales]]&gt;=200000,"High Performer",IF(Table1[[#This Row],[Employee Total Sales]]&gt;=180000,"Mid Performer","Low Performer"))</f>
        <v>High Performer</v>
      </c>
      <c r="M147" s="2" t="str">
        <f>IF(Table1[[#This Row],[Sales Performance]]="High Performer","Eligible for Promotion",IF(Table1[[#This Row],[Sales Performance]]="Low Performer","Review Cause Effect","Room For Growth"))</f>
        <v>Eligible for Promotion</v>
      </c>
    </row>
    <row r="148" spans="1:13" x14ac:dyDescent="0.35">
      <c r="A148">
        <v>523</v>
      </c>
      <c r="B148" t="s">
        <v>401</v>
      </c>
      <c r="C148" t="s">
        <v>39</v>
      </c>
      <c r="D148" t="s">
        <v>28</v>
      </c>
      <c r="E148" s="14" t="s">
        <v>1330</v>
      </c>
      <c r="F148" t="s">
        <v>1331</v>
      </c>
      <c r="G148" s="8">
        <v>69754</v>
      </c>
      <c r="H148" s="8">
        <v>22430</v>
      </c>
      <c r="I148" s="8">
        <v>63265</v>
      </c>
      <c r="J148" s="9">
        <v>62039</v>
      </c>
      <c r="K148" s="8">
        <f>SUM(Table1[[#This Row],[Sales (Q1)]:[Sales (Q4)]])</f>
        <v>217488</v>
      </c>
      <c r="L148" s="2" t="str">
        <f>IF(Table1[[#This Row],[Employee Total Sales]]&gt;=200000,"High Performer",IF(Table1[[#This Row],[Employee Total Sales]]&gt;=180000,"Mid Performer","Low Performer"))</f>
        <v>High Performer</v>
      </c>
      <c r="M148" s="2" t="str">
        <f>IF(Table1[[#This Row],[Sales Performance]]="High Performer","Eligible for Promotion",IF(Table1[[#This Row],[Sales Performance]]="Low Performer","Review Cause Effect","Room For Growth"))</f>
        <v>Eligible for Promotion</v>
      </c>
    </row>
    <row r="149" spans="1:13" x14ac:dyDescent="0.35">
      <c r="A149">
        <v>109</v>
      </c>
      <c r="B149" t="s">
        <v>42</v>
      </c>
      <c r="C149" t="s">
        <v>27</v>
      </c>
      <c r="D149" t="s">
        <v>43</v>
      </c>
      <c r="E149" s="14" t="s">
        <v>44</v>
      </c>
      <c r="F149" t="s">
        <v>1332</v>
      </c>
      <c r="G149" s="8">
        <v>46148</v>
      </c>
      <c r="H149" s="8">
        <v>64019</v>
      </c>
      <c r="I149" s="8">
        <v>62590</v>
      </c>
      <c r="J149" s="9">
        <v>44472</v>
      </c>
      <c r="K149" s="8">
        <f>SUM(Table1[[#This Row],[Sales (Q1)]:[Sales (Q4)]])</f>
        <v>217229</v>
      </c>
      <c r="L149" s="2" t="str">
        <f>IF(Table1[[#This Row],[Employee Total Sales]]&gt;=200000,"High Performer",IF(Table1[[#This Row],[Employee Total Sales]]&gt;=180000,"Mid Performer","Low Performer"))</f>
        <v>High Performer</v>
      </c>
      <c r="M149" s="2" t="str">
        <f>IF(Table1[[#This Row],[Sales Performance]]="High Performer","Eligible for Promotion",IF(Table1[[#This Row],[Sales Performance]]="Low Performer","Review Cause Effect","Room For Growth"))</f>
        <v>Eligible for Promotion</v>
      </c>
    </row>
    <row r="150" spans="1:13" x14ac:dyDescent="0.35">
      <c r="A150">
        <v>401</v>
      </c>
      <c r="B150" t="s">
        <v>376</v>
      </c>
      <c r="C150" t="s">
        <v>32</v>
      </c>
      <c r="D150" t="s">
        <v>28</v>
      </c>
      <c r="E150" s="14" t="s">
        <v>1715</v>
      </c>
      <c r="F150" t="s">
        <v>1333</v>
      </c>
      <c r="G150" s="8">
        <v>38226</v>
      </c>
      <c r="H150" s="8">
        <v>60616</v>
      </c>
      <c r="I150" s="8">
        <v>61198</v>
      </c>
      <c r="J150" s="9">
        <v>56539</v>
      </c>
      <c r="K150" s="8">
        <f>SUM(Table1[[#This Row],[Sales (Q1)]:[Sales (Q4)]])</f>
        <v>216579</v>
      </c>
      <c r="L150" s="2" t="str">
        <f>IF(Table1[[#This Row],[Employee Total Sales]]&gt;=200000,"High Performer",IF(Table1[[#This Row],[Employee Total Sales]]&gt;=180000,"Mid Performer","Low Performer"))</f>
        <v>High Performer</v>
      </c>
      <c r="M150" s="2" t="str">
        <f>IF(Table1[[#This Row],[Sales Performance]]="High Performer","Eligible for Promotion",IF(Table1[[#This Row],[Sales Performance]]="Low Performer","Review Cause Effect","Room For Growth"))</f>
        <v>Eligible for Promotion</v>
      </c>
    </row>
    <row r="151" spans="1:13" x14ac:dyDescent="0.35">
      <c r="A151">
        <v>554</v>
      </c>
      <c r="B151" t="s">
        <v>117</v>
      </c>
      <c r="C151" t="s">
        <v>16</v>
      </c>
      <c r="D151" t="s">
        <v>43</v>
      </c>
      <c r="E151" s="14" t="s">
        <v>118</v>
      </c>
      <c r="F151" t="s">
        <v>1334</v>
      </c>
      <c r="G151" s="8">
        <v>79815</v>
      </c>
      <c r="H151" s="8">
        <v>70169</v>
      </c>
      <c r="I151" s="8">
        <v>43587</v>
      </c>
      <c r="J151" s="9">
        <v>22877</v>
      </c>
      <c r="K151" s="8">
        <f>SUM(Table1[[#This Row],[Sales (Q1)]:[Sales (Q4)]])</f>
        <v>216448</v>
      </c>
      <c r="L151" s="2" t="str">
        <f>IF(Table1[[#This Row],[Employee Total Sales]]&gt;=200000,"High Performer",IF(Table1[[#This Row],[Employee Total Sales]]&gt;=180000,"Mid Performer","Low Performer"))</f>
        <v>High Performer</v>
      </c>
      <c r="M151" s="2" t="str">
        <f>IF(Table1[[#This Row],[Sales Performance]]="High Performer","Eligible for Promotion",IF(Table1[[#This Row],[Sales Performance]]="Low Performer","Review Cause Effect","Room For Growth"))</f>
        <v>Eligible for Promotion</v>
      </c>
    </row>
    <row r="152" spans="1:13" x14ac:dyDescent="0.35">
      <c r="A152">
        <v>404</v>
      </c>
      <c r="B152" t="s">
        <v>557</v>
      </c>
      <c r="C152" t="s">
        <v>32</v>
      </c>
      <c r="D152" t="s">
        <v>43</v>
      </c>
      <c r="E152" s="14" t="s">
        <v>570</v>
      </c>
      <c r="F152" t="s">
        <v>1335</v>
      </c>
      <c r="G152" s="8">
        <v>54432</v>
      </c>
      <c r="H152" s="8">
        <v>57692</v>
      </c>
      <c r="I152" s="8">
        <v>60844</v>
      </c>
      <c r="J152" s="9">
        <v>43190</v>
      </c>
      <c r="K152" s="8">
        <f>SUM(Table1[[#This Row],[Sales (Q1)]:[Sales (Q4)]])</f>
        <v>216158</v>
      </c>
      <c r="L152" s="2" t="str">
        <f>IF(Table1[[#This Row],[Employee Total Sales]]&gt;=200000,"High Performer",IF(Table1[[#This Row],[Employee Total Sales]]&gt;=180000,"Mid Performer","Low Performer"))</f>
        <v>High Performer</v>
      </c>
      <c r="M152" s="2" t="str">
        <f>IF(Table1[[#This Row],[Sales Performance]]="High Performer","Eligible for Promotion",IF(Table1[[#This Row],[Sales Performance]]="Low Performer","Review Cause Effect","Room For Growth"))</f>
        <v>Eligible for Promotion</v>
      </c>
    </row>
    <row r="153" spans="1:13" x14ac:dyDescent="0.35">
      <c r="A153">
        <v>198</v>
      </c>
      <c r="B153" t="s">
        <v>294</v>
      </c>
      <c r="C153" t="s">
        <v>39</v>
      </c>
      <c r="D153" t="s">
        <v>43</v>
      </c>
      <c r="E153" s="14" t="s">
        <v>295</v>
      </c>
      <c r="F153" t="s">
        <v>296</v>
      </c>
      <c r="G153" s="8">
        <v>60961</v>
      </c>
      <c r="H153" s="8">
        <v>39845</v>
      </c>
      <c r="I153" s="8">
        <v>60267</v>
      </c>
      <c r="J153" s="9">
        <v>54962</v>
      </c>
      <c r="K153" s="8">
        <f>SUM(Table1[[#This Row],[Sales (Q1)]:[Sales (Q4)]])</f>
        <v>216035</v>
      </c>
      <c r="L153" s="2" t="str">
        <f>IF(Table1[[#This Row],[Employee Total Sales]]&gt;=200000,"High Performer",IF(Table1[[#This Row],[Employee Total Sales]]&gt;=180000,"Mid Performer","Low Performer"))</f>
        <v>High Performer</v>
      </c>
      <c r="M153" s="2" t="str">
        <f>IF(Table1[[#This Row],[Sales Performance]]="High Performer","Eligible for Promotion",IF(Table1[[#This Row],[Sales Performance]]="Low Performer","Review Cause Effect","Room For Growth"))</f>
        <v>Eligible for Promotion</v>
      </c>
    </row>
    <row r="154" spans="1:13" x14ac:dyDescent="0.35">
      <c r="A154">
        <v>116</v>
      </c>
      <c r="B154" t="s">
        <v>63</v>
      </c>
      <c r="C154" t="s">
        <v>39</v>
      </c>
      <c r="D154" t="s">
        <v>12</v>
      </c>
      <c r="E154" s="14" t="s">
        <v>1336</v>
      </c>
      <c r="F154" t="s">
        <v>1337</v>
      </c>
      <c r="G154" s="8">
        <v>77728</v>
      </c>
      <c r="H154" s="8">
        <v>24508</v>
      </c>
      <c r="I154" s="8">
        <v>77623</v>
      </c>
      <c r="J154" s="9">
        <v>36009</v>
      </c>
      <c r="K154" s="8">
        <f>SUM(Table1[[#This Row],[Sales (Q1)]:[Sales (Q4)]])</f>
        <v>215868</v>
      </c>
      <c r="L154" s="2" t="str">
        <f>IF(Table1[[#This Row],[Employee Total Sales]]&gt;=200000,"High Performer",IF(Table1[[#This Row],[Employee Total Sales]]&gt;=180000,"Mid Performer","Low Performer"))</f>
        <v>High Performer</v>
      </c>
      <c r="M154" s="2" t="str">
        <f>IF(Table1[[#This Row],[Sales Performance]]="High Performer","Eligible for Promotion",IF(Table1[[#This Row],[Sales Performance]]="Low Performer","Review Cause Effect","Room For Growth"))</f>
        <v>Eligible for Promotion</v>
      </c>
    </row>
    <row r="155" spans="1:13" x14ac:dyDescent="0.35">
      <c r="A155">
        <v>532</v>
      </c>
      <c r="B155" t="s">
        <v>181</v>
      </c>
      <c r="C155" t="s">
        <v>32</v>
      </c>
      <c r="D155" t="s">
        <v>20</v>
      </c>
      <c r="E155" s="14" t="s">
        <v>1036</v>
      </c>
      <c r="F155" t="s">
        <v>1338</v>
      </c>
      <c r="G155" s="8">
        <v>29763</v>
      </c>
      <c r="H155" s="8">
        <v>76776</v>
      </c>
      <c r="I155" s="8">
        <v>67701</v>
      </c>
      <c r="J155" s="9">
        <v>41313</v>
      </c>
      <c r="K155" s="8">
        <f>SUM(Table1[[#This Row],[Sales (Q1)]:[Sales (Q4)]])</f>
        <v>215553</v>
      </c>
      <c r="L155" s="2" t="str">
        <f>IF(Table1[[#This Row],[Employee Total Sales]]&gt;=200000,"High Performer",IF(Table1[[#This Row],[Employee Total Sales]]&gt;=180000,"Mid Performer","Low Performer"))</f>
        <v>High Performer</v>
      </c>
      <c r="M155" s="2" t="str">
        <f>IF(Table1[[#This Row],[Sales Performance]]="High Performer","Eligible for Promotion",IF(Table1[[#This Row],[Sales Performance]]="Low Performer","Review Cause Effect","Room For Growth"))</f>
        <v>Eligible for Promotion</v>
      </c>
    </row>
    <row r="156" spans="1:13" x14ac:dyDescent="0.35">
      <c r="A156">
        <v>414</v>
      </c>
      <c r="B156" t="s">
        <v>795</v>
      </c>
      <c r="C156" t="s">
        <v>55</v>
      </c>
      <c r="D156" t="s">
        <v>28</v>
      </c>
      <c r="E156" s="14" t="s">
        <v>1339</v>
      </c>
      <c r="F156" t="s">
        <v>1340</v>
      </c>
      <c r="G156" s="8">
        <v>25147</v>
      </c>
      <c r="H156" s="8">
        <v>69528</v>
      </c>
      <c r="I156" s="8">
        <v>70097</v>
      </c>
      <c r="J156" s="9">
        <v>50519</v>
      </c>
      <c r="K156" s="8">
        <f>SUM(Table1[[#This Row],[Sales (Q1)]:[Sales (Q4)]])</f>
        <v>215291</v>
      </c>
      <c r="L156" s="2" t="str">
        <f>IF(Table1[[#This Row],[Employee Total Sales]]&gt;=200000,"High Performer",IF(Table1[[#This Row],[Employee Total Sales]]&gt;=180000,"Mid Performer","Low Performer"))</f>
        <v>High Performer</v>
      </c>
      <c r="M156" s="2" t="str">
        <f>IF(Table1[[#This Row],[Sales Performance]]="High Performer","Eligible for Promotion",IF(Table1[[#This Row],[Sales Performance]]="Low Performer","Review Cause Effect","Room For Growth"))</f>
        <v>Eligible for Promotion</v>
      </c>
    </row>
    <row r="157" spans="1:13" x14ac:dyDescent="0.35">
      <c r="A157">
        <v>310</v>
      </c>
      <c r="B157" t="s">
        <v>565</v>
      </c>
      <c r="C157" t="s">
        <v>39</v>
      </c>
      <c r="D157" t="s">
        <v>28</v>
      </c>
      <c r="E157" s="14" t="s">
        <v>1716</v>
      </c>
      <c r="F157" t="s">
        <v>569</v>
      </c>
      <c r="G157" s="8">
        <v>77287</v>
      </c>
      <c r="H157" s="8">
        <v>22585</v>
      </c>
      <c r="I157" s="8">
        <v>75852</v>
      </c>
      <c r="J157" s="9">
        <v>39042</v>
      </c>
      <c r="K157" s="8">
        <f>SUM(Table1[[#This Row],[Sales (Q1)]:[Sales (Q4)]])</f>
        <v>214766</v>
      </c>
      <c r="L157" s="2" t="str">
        <f>IF(Table1[[#This Row],[Employee Total Sales]]&gt;=200000,"High Performer",IF(Table1[[#This Row],[Employee Total Sales]]&gt;=180000,"Mid Performer","Low Performer"))</f>
        <v>High Performer</v>
      </c>
      <c r="M157" s="2" t="str">
        <f>IF(Table1[[#This Row],[Sales Performance]]="High Performer","Eligible for Promotion",IF(Table1[[#This Row],[Sales Performance]]="Low Performer","Review Cause Effect","Room For Growth"))</f>
        <v>Eligible for Promotion</v>
      </c>
    </row>
    <row r="158" spans="1:13" x14ac:dyDescent="0.35">
      <c r="A158">
        <v>152</v>
      </c>
      <c r="B158" t="s">
        <v>168</v>
      </c>
      <c r="C158" t="s">
        <v>39</v>
      </c>
      <c r="D158" t="s">
        <v>12</v>
      </c>
      <c r="E158" s="14" t="s">
        <v>169</v>
      </c>
      <c r="F158" t="s">
        <v>1341</v>
      </c>
      <c r="G158" s="8">
        <v>42187</v>
      </c>
      <c r="H158" s="8">
        <v>60845</v>
      </c>
      <c r="I158" s="8">
        <v>65397</v>
      </c>
      <c r="J158" s="9">
        <v>46049</v>
      </c>
      <c r="K158" s="8">
        <f>SUM(Table1[[#This Row],[Sales (Q1)]:[Sales (Q4)]])</f>
        <v>214478</v>
      </c>
      <c r="L158" s="2" t="str">
        <f>IF(Table1[[#This Row],[Employee Total Sales]]&gt;=200000,"High Performer",IF(Table1[[#This Row],[Employee Total Sales]]&gt;=180000,"Mid Performer","Low Performer"))</f>
        <v>High Performer</v>
      </c>
      <c r="M158" s="2" t="str">
        <f>IF(Table1[[#This Row],[Sales Performance]]="High Performer","Eligible for Promotion",IF(Table1[[#This Row],[Sales Performance]]="Low Performer","Review Cause Effect","Room For Growth"))</f>
        <v>Eligible for Promotion</v>
      </c>
    </row>
    <row r="159" spans="1:13" x14ac:dyDescent="0.35">
      <c r="A159">
        <v>405</v>
      </c>
      <c r="B159" t="s">
        <v>376</v>
      </c>
      <c r="C159" t="s">
        <v>16</v>
      </c>
      <c r="D159" t="s">
        <v>43</v>
      </c>
      <c r="E159" s="14" t="s">
        <v>1715</v>
      </c>
      <c r="F159" t="s">
        <v>1342</v>
      </c>
      <c r="G159" s="8">
        <v>41875</v>
      </c>
      <c r="H159" s="8">
        <v>42914</v>
      </c>
      <c r="I159" s="8">
        <v>56727</v>
      </c>
      <c r="J159" s="9">
        <v>72824</v>
      </c>
      <c r="K159" s="8">
        <f>SUM(Table1[[#This Row],[Sales (Q1)]:[Sales (Q4)]])</f>
        <v>214340</v>
      </c>
      <c r="L159" s="2" t="str">
        <f>IF(Table1[[#This Row],[Employee Total Sales]]&gt;=200000,"High Performer",IF(Table1[[#This Row],[Employee Total Sales]]&gt;=180000,"Mid Performer","Low Performer"))</f>
        <v>High Performer</v>
      </c>
      <c r="M159" s="2" t="str">
        <f>IF(Table1[[#This Row],[Sales Performance]]="High Performer","Eligible for Promotion",IF(Table1[[#This Row],[Sales Performance]]="Low Performer","Review Cause Effect","Room For Growth"))</f>
        <v>Eligible for Promotion</v>
      </c>
    </row>
    <row r="160" spans="1:13" x14ac:dyDescent="0.35">
      <c r="A160">
        <v>183</v>
      </c>
      <c r="B160" t="s">
        <v>251</v>
      </c>
      <c r="C160" t="s">
        <v>111</v>
      </c>
      <c r="D160" t="s">
        <v>20</v>
      </c>
      <c r="E160" s="14" t="s">
        <v>252</v>
      </c>
      <c r="F160" t="s">
        <v>1343</v>
      </c>
      <c r="G160" s="8">
        <v>23419</v>
      </c>
      <c r="H160" s="8">
        <v>62020</v>
      </c>
      <c r="I160" s="8">
        <v>51495</v>
      </c>
      <c r="J160" s="9">
        <v>77286</v>
      </c>
      <c r="K160" s="8">
        <f>SUM(Table1[[#This Row],[Sales (Q1)]:[Sales (Q4)]])</f>
        <v>214220</v>
      </c>
      <c r="L160" s="2" t="str">
        <f>IF(Table1[[#This Row],[Employee Total Sales]]&gt;=200000,"High Performer",IF(Table1[[#This Row],[Employee Total Sales]]&gt;=180000,"Mid Performer","Low Performer"))</f>
        <v>High Performer</v>
      </c>
      <c r="M160" s="2" t="str">
        <f>IF(Table1[[#This Row],[Sales Performance]]="High Performer","Eligible for Promotion",IF(Table1[[#This Row],[Sales Performance]]="Low Performer","Review Cause Effect","Room For Growth"))</f>
        <v>Eligible for Promotion</v>
      </c>
    </row>
    <row r="161" spans="1:13" x14ac:dyDescent="0.35">
      <c r="A161">
        <v>564</v>
      </c>
      <c r="B161" t="s">
        <v>235</v>
      </c>
      <c r="C161" t="s">
        <v>27</v>
      </c>
      <c r="D161" t="s">
        <v>28</v>
      </c>
      <c r="E161" s="14" t="s">
        <v>1094</v>
      </c>
      <c r="F161" t="s">
        <v>1344</v>
      </c>
      <c r="G161" s="8">
        <v>77262</v>
      </c>
      <c r="H161" s="8">
        <v>28411</v>
      </c>
      <c r="I161" s="8">
        <v>40025</v>
      </c>
      <c r="J161" s="9">
        <v>68352</v>
      </c>
      <c r="K161" s="8">
        <f>SUM(Table1[[#This Row],[Sales (Q1)]:[Sales (Q4)]])</f>
        <v>214050</v>
      </c>
      <c r="L161" s="2" t="str">
        <f>IF(Table1[[#This Row],[Employee Total Sales]]&gt;=200000,"High Performer",IF(Table1[[#This Row],[Employee Total Sales]]&gt;=180000,"Mid Performer","Low Performer"))</f>
        <v>High Performer</v>
      </c>
      <c r="M161" s="2" t="str">
        <f>IF(Table1[[#This Row],[Sales Performance]]="High Performer","Eligible for Promotion",IF(Table1[[#This Row],[Sales Performance]]="Low Performer","Review Cause Effect","Room For Growth"))</f>
        <v>Eligible for Promotion</v>
      </c>
    </row>
    <row r="162" spans="1:13" x14ac:dyDescent="0.35">
      <c r="A162">
        <v>154</v>
      </c>
      <c r="B162" t="s">
        <v>173</v>
      </c>
      <c r="C162" t="s">
        <v>111</v>
      </c>
      <c r="D162" t="s">
        <v>12</v>
      </c>
      <c r="E162" s="14" t="s">
        <v>174</v>
      </c>
      <c r="F162" t="s">
        <v>1345</v>
      </c>
      <c r="G162" s="8">
        <v>60613</v>
      </c>
      <c r="H162" s="8">
        <v>64769</v>
      </c>
      <c r="I162" s="8">
        <v>35783</v>
      </c>
      <c r="J162" s="9">
        <v>52615</v>
      </c>
      <c r="K162" s="8">
        <f>SUM(Table1[[#This Row],[Sales (Q1)]:[Sales (Q4)]])</f>
        <v>213780</v>
      </c>
      <c r="L162" s="2" t="str">
        <f>IF(Table1[[#This Row],[Employee Total Sales]]&gt;=200000,"High Performer",IF(Table1[[#This Row],[Employee Total Sales]]&gt;=180000,"Mid Performer","Low Performer"))</f>
        <v>High Performer</v>
      </c>
      <c r="M162" s="2" t="str">
        <f>IF(Table1[[#This Row],[Sales Performance]]="High Performer","Eligible for Promotion",IF(Table1[[#This Row],[Sales Performance]]="Low Performer","Review Cause Effect","Room For Growth"))</f>
        <v>Eligible for Promotion</v>
      </c>
    </row>
    <row r="163" spans="1:13" x14ac:dyDescent="0.35">
      <c r="A163">
        <v>327</v>
      </c>
      <c r="B163" t="s">
        <v>333</v>
      </c>
      <c r="C163" t="s">
        <v>11</v>
      </c>
      <c r="D163" t="s">
        <v>12</v>
      </c>
      <c r="E163" s="14" t="s">
        <v>1346</v>
      </c>
      <c r="F163" t="s">
        <v>1347</v>
      </c>
      <c r="G163" s="8">
        <v>39427</v>
      </c>
      <c r="H163" s="8">
        <v>78869</v>
      </c>
      <c r="I163" s="8">
        <v>62698</v>
      </c>
      <c r="J163" s="9">
        <v>32616</v>
      </c>
      <c r="K163" s="8">
        <f>SUM(Table1[[#This Row],[Sales (Q1)]:[Sales (Q4)]])</f>
        <v>213610</v>
      </c>
      <c r="L163" s="2" t="str">
        <f>IF(Table1[[#This Row],[Employee Total Sales]]&gt;=200000,"High Performer",IF(Table1[[#This Row],[Employee Total Sales]]&gt;=180000,"Mid Performer","Low Performer"))</f>
        <v>High Performer</v>
      </c>
      <c r="M163" s="2" t="str">
        <f>IF(Table1[[#This Row],[Sales Performance]]="High Performer","Eligible for Promotion",IF(Table1[[#This Row],[Sales Performance]]="Low Performer","Review Cause Effect","Room For Growth"))</f>
        <v>Eligible for Promotion</v>
      </c>
    </row>
    <row r="164" spans="1:13" x14ac:dyDescent="0.35">
      <c r="A164">
        <v>191</v>
      </c>
      <c r="B164" t="s">
        <v>274</v>
      </c>
      <c r="C164" t="s">
        <v>16</v>
      </c>
      <c r="D164" t="s">
        <v>20</v>
      </c>
      <c r="E164" s="14" t="s">
        <v>1348</v>
      </c>
      <c r="F164" t="s">
        <v>1349</v>
      </c>
      <c r="G164" s="8">
        <v>48220</v>
      </c>
      <c r="H164" s="8">
        <v>59482</v>
      </c>
      <c r="I164" s="8">
        <v>73892</v>
      </c>
      <c r="J164" s="9">
        <v>31826</v>
      </c>
      <c r="K164" s="8">
        <f>SUM(Table1[[#This Row],[Sales (Q1)]:[Sales (Q4)]])</f>
        <v>213420</v>
      </c>
      <c r="L164" s="2" t="str">
        <f>IF(Table1[[#This Row],[Employee Total Sales]]&gt;=200000,"High Performer",IF(Table1[[#This Row],[Employee Total Sales]]&gt;=180000,"Mid Performer","Low Performer"))</f>
        <v>High Performer</v>
      </c>
      <c r="M164" s="2" t="str">
        <f>IF(Table1[[#This Row],[Sales Performance]]="High Performer","Eligible for Promotion",IF(Table1[[#This Row],[Sales Performance]]="Low Performer","Review Cause Effect","Room For Growth"))</f>
        <v>Eligible for Promotion</v>
      </c>
    </row>
    <row r="165" spans="1:13" x14ac:dyDescent="0.35">
      <c r="A165">
        <v>120</v>
      </c>
      <c r="B165" t="s">
        <v>75</v>
      </c>
      <c r="C165" t="s">
        <v>11</v>
      </c>
      <c r="D165" t="s">
        <v>28</v>
      </c>
      <c r="E165" s="14" t="s">
        <v>76</v>
      </c>
      <c r="F165" t="s">
        <v>1350</v>
      </c>
      <c r="G165" s="8">
        <v>31754</v>
      </c>
      <c r="H165" s="8">
        <v>68271</v>
      </c>
      <c r="I165" s="8">
        <v>41770</v>
      </c>
      <c r="J165" s="9">
        <v>71274</v>
      </c>
      <c r="K165" s="8">
        <f>SUM(Table1[[#This Row],[Sales (Q1)]:[Sales (Q4)]])</f>
        <v>213069</v>
      </c>
      <c r="L165" s="2" t="str">
        <f>IF(Table1[[#This Row],[Employee Total Sales]]&gt;=200000,"High Performer",IF(Table1[[#This Row],[Employee Total Sales]]&gt;=180000,"Mid Performer","Low Performer"))</f>
        <v>High Performer</v>
      </c>
      <c r="M165" s="2" t="str">
        <f>IF(Table1[[#This Row],[Sales Performance]]="High Performer","Eligible for Promotion",IF(Table1[[#This Row],[Sales Performance]]="Low Performer","Review Cause Effect","Room For Growth"))</f>
        <v>Eligible for Promotion</v>
      </c>
    </row>
    <row r="166" spans="1:13" x14ac:dyDescent="0.35">
      <c r="A166">
        <v>457</v>
      </c>
      <c r="B166" t="s">
        <v>888</v>
      </c>
      <c r="C166" t="s">
        <v>111</v>
      </c>
      <c r="D166" t="s">
        <v>43</v>
      </c>
      <c r="E166" s="14" t="s">
        <v>889</v>
      </c>
      <c r="F166" t="s">
        <v>890</v>
      </c>
      <c r="G166" s="8">
        <v>60542</v>
      </c>
      <c r="H166" s="8">
        <v>30537</v>
      </c>
      <c r="I166" s="8">
        <v>66649</v>
      </c>
      <c r="J166" s="9">
        <v>55082</v>
      </c>
      <c r="K166" s="8">
        <f>SUM(Table1[[#This Row],[Sales (Q1)]:[Sales (Q4)]])</f>
        <v>212810</v>
      </c>
      <c r="L166" s="2" t="str">
        <f>IF(Table1[[#This Row],[Employee Total Sales]]&gt;=200000,"High Performer",IF(Table1[[#This Row],[Employee Total Sales]]&gt;=180000,"Mid Performer","Low Performer"))</f>
        <v>High Performer</v>
      </c>
      <c r="M166" s="2" t="str">
        <f>IF(Table1[[#This Row],[Sales Performance]]="High Performer","Eligible for Promotion",IF(Table1[[#This Row],[Sales Performance]]="Low Performer","Review Cause Effect","Room For Growth"))</f>
        <v>Eligible for Promotion</v>
      </c>
    </row>
    <row r="167" spans="1:13" x14ac:dyDescent="0.35">
      <c r="A167">
        <v>195</v>
      </c>
      <c r="B167" t="s">
        <v>285</v>
      </c>
      <c r="C167" t="s">
        <v>39</v>
      </c>
      <c r="D167" t="s">
        <v>28</v>
      </c>
      <c r="E167" s="14" t="s">
        <v>286</v>
      </c>
      <c r="F167" t="s">
        <v>1351</v>
      </c>
      <c r="G167" s="8">
        <v>55531</v>
      </c>
      <c r="H167" s="8">
        <v>39029</v>
      </c>
      <c r="I167" s="8">
        <v>78414</v>
      </c>
      <c r="J167" s="9">
        <v>39657</v>
      </c>
      <c r="K167" s="8">
        <f>SUM(Table1[[#This Row],[Sales (Q1)]:[Sales (Q4)]])</f>
        <v>212631</v>
      </c>
      <c r="L167" s="2" t="str">
        <f>IF(Table1[[#This Row],[Employee Total Sales]]&gt;=200000,"High Performer",IF(Table1[[#This Row],[Employee Total Sales]]&gt;=180000,"Mid Performer","Low Performer"))</f>
        <v>High Performer</v>
      </c>
      <c r="M167" s="2" t="str">
        <f>IF(Table1[[#This Row],[Sales Performance]]="High Performer","Eligible for Promotion",IF(Table1[[#This Row],[Sales Performance]]="Low Performer","Review Cause Effect","Room For Growth"))</f>
        <v>Eligible for Promotion</v>
      </c>
    </row>
    <row r="168" spans="1:13" x14ac:dyDescent="0.35">
      <c r="A168">
        <v>335</v>
      </c>
      <c r="B168" t="s">
        <v>285</v>
      </c>
      <c r="C168" t="s">
        <v>32</v>
      </c>
      <c r="D168" t="s">
        <v>28</v>
      </c>
      <c r="E168" s="14" t="s">
        <v>286</v>
      </c>
      <c r="F168" t="s">
        <v>1352</v>
      </c>
      <c r="G168" s="8">
        <v>75678</v>
      </c>
      <c r="H168" s="8">
        <v>53238</v>
      </c>
      <c r="I168" s="8">
        <v>61394</v>
      </c>
      <c r="J168" s="9">
        <v>22044</v>
      </c>
      <c r="K168" s="8">
        <f>SUM(Table1[[#This Row],[Sales (Q1)]:[Sales (Q4)]])</f>
        <v>212354</v>
      </c>
      <c r="L168" s="2" t="str">
        <f>IF(Table1[[#This Row],[Employee Total Sales]]&gt;=200000,"High Performer",IF(Table1[[#This Row],[Employee Total Sales]]&gt;=180000,"Mid Performer","Low Performer"))</f>
        <v>High Performer</v>
      </c>
      <c r="M168" s="2" t="str">
        <f>IF(Table1[[#This Row],[Sales Performance]]="High Performer","Eligible for Promotion",IF(Table1[[#This Row],[Sales Performance]]="Low Performer","Review Cause Effect","Room For Growth"))</f>
        <v>Eligible for Promotion</v>
      </c>
    </row>
    <row r="169" spans="1:13" x14ac:dyDescent="0.35">
      <c r="A169">
        <v>397</v>
      </c>
      <c r="B169" t="s">
        <v>760</v>
      </c>
      <c r="C169" t="s">
        <v>16</v>
      </c>
      <c r="D169" t="s">
        <v>20</v>
      </c>
      <c r="E169" s="14" t="s">
        <v>761</v>
      </c>
      <c r="F169" t="s">
        <v>1353</v>
      </c>
      <c r="G169" s="8">
        <v>74387</v>
      </c>
      <c r="H169" s="8">
        <v>62342</v>
      </c>
      <c r="I169" s="8">
        <v>49602</v>
      </c>
      <c r="J169" s="9">
        <v>25927</v>
      </c>
      <c r="K169" s="8">
        <f>SUM(Table1[[#This Row],[Sales (Q1)]:[Sales (Q4)]])</f>
        <v>212258</v>
      </c>
      <c r="L169" s="2" t="str">
        <f>IF(Table1[[#This Row],[Employee Total Sales]]&gt;=200000,"High Performer",IF(Table1[[#This Row],[Employee Total Sales]]&gt;=180000,"Mid Performer","Low Performer"))</f>
        <v>High Performer</v>
      </c>
      <c r="M169" s="2" t="str">
        <f>IF(Table1[[#This Row],[Sales Performance]]="High Performer","Eligible for Promotion",IF(Table1[[#This Row],[Sales Performance]]="Low Performer","Review Cause Effect","Room For Growth"))</f>
        <v>Eligible for Promotion</v>
      </c>
    </row>
    <row r="170" spans="1:13" x14ac:dyDescent="0.35">
      <c r="A170">
        <v>594</v>
      </c>
      <c r="B170" t="s">
        <v>1128</v>
      </c>
      <c r="C170" t="s">
        <v>16</v>
      </c>
      <c r="D170" t="s">
        <v>20</v>
      </c>
      <c r="E170" s="14" t="s">
        <v>1354</v>
      </c>
      <c r="F170" t="s">
        <v>1355</v>
      </c>
      <c r="G170" s="8">
        <v>72220</v>
      </c>
      <c r="H170" s="8">
        <v>25707</v>
      </c>
      <c r="I170" s="8">
        <v>39749</v>
      </c>
      <c r="J170" s="9">
        <v>74549</v>
      </c>
      <c r="K170" s="8">
        <f>SUM(Table1[[#This Row],[Sales (Q1)]:[Sales (Q4)]])</f>
        <v>212225</v>
      </c>
      <c r="L170" s="2" t="str">
        <f>IF(Table1[[#This Row],[Employee Total Sales]]&gt;=200000,"High Performer",IF(Table1[[#This Row],[Employee Total Sales]]&gt;=180000,"Mid Performer","Low Performer"))</f>
        <v>High Performer</v>
      </c>
      <c r="M170" s="2" t="str">
        <f>IF(Table1[[#This Row],[Sales Performance]]="High Performer","Eligible for Promotion",IF(Table1[[#This Row],[Sales Performance]]="Low Performer","Review Cause Effect","Room For Growth"))</f>
        <v>Eligible for Promotion</v>
      </c>
    </row>
    <row r="171" spans="1:13" x14ac:dyDescent="0.35">
      <c r="A171">
        <v>393</v>
      </c>
      <c r="B171" t="s">
        <v>751</v>
      </c>
      <c r="C171" t="s">
        <v>27</v>
      </c>
      <c r="D171" t="s">
        <v>43</v>
      </c>
      <c r="E171" s="14" t="s">
        <v>1356</v>
      </c>
      <c r="F171" t="s">
        <v>753</v>
      </c>
      <c r="G171" s="8">
        <v>21716</v>
      </c>
      <c r="H171" s="8">
        <v>69967</v>
      </c>
      <c r="I171" s="8">
        <v>60106</v>
      </c>
      <c r="J171" s="9">
        <v>60432</v>
      </c>
      <c r="K171" s="8">
        <f>SUM(Table1[[#This Row],[Sales (Q1)]:[Sales (Q4)]])</f>
        <v>212221</v>
      </c>
      <c r="L171" s="2" t="str">
        <f>IF(Table1[[#This Row],[Employee Total Sales]]&gt;=200000,"High Performer",IF(Table1[[#This Row],[Employee Total Sales]]&gt;=180000,"Mid Performer","Low Performer"))</f>
        <v>High Performer</v>
      </c>
      <c r="M171" s="2" t="str">
        <f>IF(Table1[[#This Row],[Sales Performance]]="High Performer","Eligible for Promotion",IF(Table1[[#This Row],[Sales Performance]]="Low Performer","Review Cause Effect","Room For Growth"))</f>
        <v>Eligible for Promotion</v>
      </c>
    </row>
    <row r="172" spans="1:13" x14ac:dyDescent="0.35">
      <c r="A172">
        <v>171</v>
      </c>
      <c r="B172" t="s">
        <v>98</v>
      </c>
      <c r="C172" t="s">
        <v>111</v>
      </c>
      <c r="D172" t="s">
        <v>43</v>
      </c>
      <c r="E172" s="14" t="s">
        <v>221</v>
      </c>
      <c r="F172" t="s">
        <v>1357</v>
      </c>
      <c r="G172" s="8">
        <v>49039</v>
      </c>
      <c r="H172" s="8">
        <v>63380</v>
      </c>
      <c r="I172" s="8">
        <v>47788</v>
      </c>
      <c r="J172" s="9">
        <v>51828</v>
      </c>
      <c r="K172" s="8">
        <f>SUM(Table1[[#This Row],[Sales (Q1)]:[Sales (Q4)]])</f>
        <v>212035</v>
      </c>
      <c r="L172" s="2" t="str">
        <f>IF(Table1[[#This Row],[Employee Total Sales]]&gt;=200000,"High Performer",IF(Table1[[#This Row],[Employee Total Sales]]&gt;=180000,"Mid Performer","Low Performer"))</f>
        <v>High Performer</v>
      </c>
      <c r="M172" s="2" t="str">
        <f>IF(Table1[[#This Row],[Sales Performance]]="High Performer","Eligible for Promotion",IF(Table1[[#This Row],[Sales Performance]]="Low Performer","Review Cause Effect","Room For Growth"))</f>
        <v>Eligible for Promotion</v>
      </c>
    </row>
    <row r="173" spans="1:13" x14ac:dyDescent="0.35">
      <c r="A173">
        <v>560</v>
      </c>
      <c r="B173" t="s">
        <v>282</v>
      </c>
      <c r="C173" t="s">
        <v>27</v>
      </c>
      <c r="D173" t="s">
        <v>28</v>
      </c>
      <c r="E173" s="14" t="s">
        <v>1087</v>
      </c>
      <c r="F173" t="s">
        <v>1358</v>
      </c>
      <c r="G173" s="8">
        <v>48344</v>
      </c>
      <c r="H173" s="8">
        <v>46801</v>
      </c>
      <c r="I173" s="8">
        <v>44085</v>
      </c>
      <c r="J173" s="9">
        <v>72724</v>
      </c>
      <c r="K173" s="8">
        <f>SUM(Table1[[#This Row],[Sales (Q1)]:[Sales (Q4)]])</f>
        <v>211954</v>
      </c>
      <c r="L173" s="2" t="str">
        <f>IF(Table1[[#This Row],[Employee Total Sales]]&gt;=200000,"High Performer",IF(Table1[[#This Row],[Employee Total Sales]]&gt;=180000,"Mid Performer","Low Performer"))</f>
        <v>High Performer</v>
      </c>
      <c r="M173" s="2" t="str">
        <f>IF(Table1[[#This Row],[Sales Performance]]="High Performer","Eligible for Promotion",IF(Table1[[#This Row],[Sales Performance]]="Low Performer","Review Cause Effect","Room For Growth"))</f>
        <v>Eligible for Promotion</v>
      </c>
    </row>
    <row r="174" spans="1:13" x14ac:dyDescent="0.35">
      <c r="A174">
        <v>304</v>
      </c>
      <c r="B174" t="s">
        <v>422</v>
      </c>
      <c r="C174" t="s">
        <v>27</v>
      </c>
      <c r="D174" t="s">
        <v>28</v>
      </c>
      <c r="E174" s="14" t="s">
        <v>462</v>
      </c>
      <c r="F174" t="s">
        <v>553</v>
      </c>
      <c r="G174" s="8">
        <v>67884</v>
      </c>
      <c r="H174" s="8">
        <v>44451</v>
      </c>
      <c r="I174" s="8">
        <v>20922</v>
      </c>
      <c r="J174" s="9">
        <v>78458</v>
      </c>
      <c r="K174" s="8">
        <f>SUM(Table1[[#This Row],[Sales (Q1)]:[Sales (Q4)]])</f>
        <v>211715</v>
      </c>
      <c r="L174" s="2" t="str">
        <f>IF(Table1[[#This Row],[Employee Total Sales]]&gt;=200000,"High Performer",IF(Table1[[#This Row],[Employee Total Sales]]&gt;=180000,"Mid Performer","Low Performer"))</f>
        <v>High Performer</v>
      </c>
      <c r="M174" s="2" t="str">
        <f>IF(Table1[[#This Row],[Sales Performance]]="High Performer","Eligible for Promotion",IF(Table1[[#This Row],[Sales Performance]]="Low Performer","Review Cause Effect","Room For Growth"))</f>
        <v>Eligible for Promotion</v>
      </c>
    </row>
    <row r="175" spans="1:13" x14ac:dyDescent="0.35">
      <c r="A175">
        <v>444</v>
      </c>
      <c r="B175" t="s">
        <v>594</v>
      </c>
      <c r="C175" t="s">
        <v>55</v>
      </c>
      <c r="D175" t="s">
        <v>43</v>
      </c>
      <c r="E175" s="14" t="s">
        <v>1307</v>
      </c>
      <c r="F175" t="s">
        <v>1359</v>
      </c>
      <c r="G175" s="8">
        <v>36474</v>
      </c>
      <c r="H175" s="8">
        <v>41908</v>
      </c>
      <c r="I175" s="8">
        <v>60423</v>
      </c>
      <c r="J175" s="9">
        <v>72766</v>
      </c>
      <c r="K175" s="8">
        <f>SUM(Table1[[#This Row],[Sales (Q1)]:[Sales (Q4)]])</f>
        <v>211571</v>
      </c>
      <c r="L175" s="2" t="str">
        <f>IF(Table1[[#This Row],[Employee Total Sales]]&gt;=200000,"High Performer",IF(Table1[[#This Row],[Employee Total Sales]]&gt;=180000,"Mid Performer","Low Performer"))</f>
        <v>High Performer</v>
      </c>
      <c r="M175" s="2" t="str">
        <f>IF(Table1[[#This Row],[Sales Performance]]="High Performer","Eligible for Promotion",IF(Table1[[#This Row],[Sales Performance]]="Low Performer","Review Cause Effect","Room For Growth"))</f>
        <v>Eligible for Promotion</v>
      </c>
    </row>
    <row r="176" spans="1:13" x14ac:dyDescent="0.35">
      <c r="A176">
        <v>586</v>
      </c>
      <c r="B176" t="s">
        <v>467</v>
      </c>
      <c r="C176" t="s">
        <v>11</v>
      </c>
      <c r="D176" t="s">
        <v>28</v>
      </c>
      <c r="E176" s="14" t="s">
        <v>582</v>
      </c>
      <c r="F176" t="s">
        <v>1136</v>
      </c>
      <c r="G176" s="8">
        <v>37126</v>
      </c>
      <c r="H176" s="8">
        <v>59677</v>
      </c>
      <c r="I176" s="8">
        <v>49849</v>
      </c>
      <c r="J176" s="9">
        <v>64634</v>
      </c>
      <c r="K176" s="8">
        <f>SUM(Table1[[#This Row],[Sales (Q1)]:[Sales (Q4)]])</f>
        <v>211286</v>
      </c>
      <c r="L176" s="2" t="str">
        <f>IF(Table1[[#This Row],[Employee Total Sales]]&gt;=200000,"High Performer",IF(Table1[[#This Row],[Employee Total Sales]]&gt;=180000,"Mid Performer","Low Performer"))</f>
        <v>High Performer</v>
      </c>
      <c r="M176" s="2" t="str">
        <f>IF(Table1[[#This Row],[Sales Performance]]="High Performer","Eligible for Promotion",IF(Table1[[#This Row],[Sales Performance]]="Low Performer","Review Cause Effect","Room For Growth"))</f>
        <v>Eligible for Promotion</v>
      </c>
    </row>
    <row r="177" spans="1:13" x14ac:dyDescent="0.35">
      <c r="A177">
        <v>495</v>
      </c>
      <c r="B177" t="s">
        <v>104</v>
      </c>
      <c r="C177" t="s">
        <v>39</v>
      </c>
      <c r="D177" t="s">
        <v>12</v>
      </c>
      <c r="E177" s="14" t="s">
        <v>105</v>
      </c>
      <c r="F177" t="s">
        <v>1360</v>
      </c>
      <c r="G177" s="8">
        <v>77246</v>
      </c>
      <c r="H177" s="8">
        <v>68180</v>
      </c>
      <c r="I177" s="8">
        <v>28749</v>
      </c>
      <c r="J177" s="9">
        <v>37083</v>
      </c>
      <c r="K177" s="8">
        <f>SUM(Table1[[#This Row],[Sales (Q1)]:[Sales (Q4)]])</f>
        <v>211258</v>
      </c>
      <c r="L177" s="2" t="str">
        <f>IF(Table1[[#This Row],[Employee Total Sales]]&gt;=200000,"High Performer",IF(Table1[[#This Row],[Employee Total Sales]]&gt;=180000,"Mid Performer","Low Performer"))</f>
        <v>High Performer</v>
      </c>
      <c r="M177" s="2" t="str">
        <f>IF(Table1[[#This Row],[Sales Performance]]="High Performer","Eligible for Promotion",IF(Table1[[#This Row],[Sales Performance]]="Low Performer","Review Cause Effect","Room For Growth"))</f>
        <v>Eligible for Promotion</v>
      </c>
    </row>
    <row r="178" spans="1:13" x14ac:dyDescent="0.35">
      <c r="A178">
        <v>230</v>
      </c>
      <c r="B178" t="s">
        <v>376</v>
      </c>
      <c r="C178" t="s">
        <v>55</v>
      </c>
      <c r="D178" t="s">
        <v>28</v>
      </c>
      <c r="E178" s="14" t="s">
        <v>1715</v>
      </c>
      <c r="F178" t="s">
        <v>1361</v>
      </c>
      <c r="G178" s="8">
        <v>72833</v>
      </c>
      <c r="H178" s="8">
        <v>79622</v>
      </c>
      <c r="I178" s="8">
        <v>31748</v>
      </c>
      <c r="J178" s="9">
        <v>27013</v>
      </c>
      <c r="K178" s="8">
        <f>SUM(Table1[[#This Row],[Sales (Q1)]:[Sales (Q4)]])</f>
        <v>211216</v>
      </c>
      <c r="L178" s="2" t="str">
        <f>IF(Table1[[#This Row],[Employee Total Sales]]&gt;=200000,"High Performer",IF(Table1[[#This Row],[Employee Total Sales]]&gt;=180000,"Mid Performer","Low Performer"))</f>
        <v>High Performer</v>
      </c>
      <c r="M178" s="2" t="str">
        <f>IF(Table1[[#This Row],[Sales Performance]]="High Performer","Eligible for Promotion",IF(Table1[[#This Row],[Sales Performance]]="Low Performer","Review Cause Effect","Room For Growth"))</f>
        <v>Eligible for Promotion</v>
      </c>
    </row>
    <row r="179" spans="1:13" x14ac:dyDescent="0.35">
      <c r="A179">
        <v>508</v>
      </c>
      <c r="B179" t="s">
        <v>324</v>
      </c>
      <c r="C179" t="s">
        <v>16</v>
      </c>
      <c r="D179" t="s">
        <v>20</v>
      </c>
      <c r="E179" s="14" t="s">
        <v>1362</v>
      </c>
      <c r="F179" t="s">
        <v>1363</v>
      </c>
      <c r="G179" s="8">
        <v>53642</v>
      </c>
      <c r="H179" s="8">
        <v>42396</v>
      </c>
      <c r="I179" s="8">
        <v>50377</v>
      </c>
      <c r="J179" s="9">
        <v>64331</v>
      </c>
      <c r="K179" s="8">
        <f>SUM(Table1[[#This Row],[Sales (Q1)]:[Sales (Q4)]])</f>
        <v>210746</v>
      </c>
      <c r="L179" s="2" t="str">
        <f>IF(Table1[[#This Row],[Employee Total Sales]]&gt;=200000,"High Performer",IF(Table1[[#This Row],[Employee Total Sales]]&gt;=180000,"Mid Performer","Low Performer"))</f>
        <v>High Performer</v>
      </c>
      <c r="M179" s="2" t="str">
        <f>IF(Table1[[#This Row],[Sales Performance]]="High Performer","Eligible for Promotion",IF(Table1[[#This Row],[Sales Performance]]="Low Performer","Review Cause Effect","Room For Growth"))</f>
        <v>Eligible for Promotion</v>
      </c>
    </row>
    <row r="180" spans="1:13" x14ac:dyDescent="0.35">
      <c r="A180">
        <v>510</v>
      </c>
      <c r="B180" t="s">
        <v>990</v>
      </c>
      <c r="C180" t="s">
        <v>32</v>
      </c>
      <c r="D180" t="s">
        <v>28</v>
      </c>
      <c r="E180" s="14" t="s">
        <v>1717</v>
      </c>
      <c r="F180" t="s">
        <v>1364</v>
      </c>
      <c r="G180" s="8">
        <v>31767</v>
      </c>
      <c r="H180" s="8">
        <v>71522</v>
      </c>
      <c r="I180" s="8">
        <v>31941</v>
      </c>
      <c r="J180" s="9">
        <v>75240</v>
      </c>
      <c r="K180" s="8">
        <f>SUM(Table1[[#This Row],[Sales (Q1)]:[Sales (Q4)]])</f>
        <v>210470</v>
      </c>
      <c r="L180" s="2" t="str">
        <f>IF(Table1[[#This Row],[Employee Total Sales]]&gt;=200000,"High Performer",IF(Table1[[#This Row],[Employee Total Sales]]&gt;=180000,"Mid Performer","Low Performer"))</f>
        <v>High Performer</v>
      </c>
      <c r="M180" s="2" t="str">
        <f>IF(Table1[[#This Row],[Sales Performance]]="High Performer","Eligible for Promotion",IF(Table1[[#This Row],[Sales Performance]]="Low Performer","Review Cause Effect","Room For Growth"))</f>
        <v>Eligible for Promotion</v>
      </c>
    </row>
    <row r="181" spans="1:13" x14ac:dyDescent="0.35">
      <c r="A181">
        <v>204</v>
      </c>
      <c r="B181" t="s">
        <v>311</v>
      </c>
      <c r="C181" t="s">
        <v>55</v>
      </c>
      <c r="D181" t="s">
        <v>20</v>
      </c>
      <c r="E181" s="14" t="s">
        <v>312</v>
      </c>
      <c r="F181" t="s">
        <v>1365</v>
      </c>
      <c r="G181" s="8">
        <v>28980</v>
      </c>
      <c r="H181" s="8">
        <v>66765</v>
      </c>
      <c r="I181" s="8">
        <v>41826</v>
      </c>
      <c r="J181" s="9">
        <v>72688</v>
      </c>
      <c r="K181" s="8">
        <f>SUM(Table1[[#This Row],[Sales (Q1)]:[Sales (Q4)]])</f>
        <v>210259</v>
      </c>
      <c r="L181" s="2" t="str">
        <f>IF(Table1[[#This Row],[Employee Total Sales]]&gt;=200000,"High Performer",IF(Table1[[#This Row],[Employee Total Sales]]&gt;=180000,"Mid Performer","Low Performer"))</f>
        <v>High Performer</v>
      </c>
      <c r="M181" s="2" t="str">
        <f>IF(Table1[[#This Row],[Sales Performance]]="High Performer","Eligible for Promotion",IF(Table1[[#This Row],[Sales Performance]]="Low Performer","Review Cause Effect","Room For Growth"))</f>
        <v>Eligible for Promotion</v>
      </c>
    </row>
    <row r="182" spans="1:13" x14ac:dyDescent="0.35">
      <c r="A182">
        <v>189</v>
      </c>
      <c r="B182" t="s">
        <v>268</v>
      </c>
      <c r="C182" t="s">
        <v>55</v>
      </c>
      <c r="D182" t="s">
        <v>12</v>
      </c>
      <c r="E182" s="14" t="s">
        <v>1718</v>
      </c>
      <c r="F182" t="s">
        <v>1366</v>
      </c>
      <c r="G182" s="8">
        <v>66926</v>
      </c>
      <c r="H182" s="8">
        <v>70868</v>
      </c>
      <c r="I182" s="8">
        <v>49994</v>
      </c>
      <c r="J182" s="9">
        <v>22423</v>
      </c>
      <c r="K182" s="8">
        <f>SUM(Table1[[#This Row],[Sales (Q1)]:[Sales (Q4)]])</f>
        <v>210211</v>
      </c>
      <c r="L182" s="2" t="str">
        <f>IF(Table1[[#This Row],[Employee Total Sales]]&gt;=200000,"High Performer",IF(Table1[[#This Row],[Employee Total Sales]]&gt;=180000,"Mid Performer","Low Performer"))</f>
        <v>High Performer</v>
      </c>
      <c r="M182" s="2" t="str">
        <f>IF(Table1[[#This Row],[Sales Performance]]="High Performer","Eligible for Promotion",IF(Table1[[#This Row],[Sales Performance]]="Low Performer","Review Cause Effect","Room For Growth"))</f>
        <v>Eligible for Promotion</v>
      </c>
    </row>
    <row r="183" spans="1:13" x14ac:dyDescent="0.35">
      <c r="A183">
        <v>338</v>
      </c>
      <c r="B183" t="s">
        <v>631</v>
      </c>
      <c r="C183" t="s">
        <v>16</v>
      </c>
      <c r="D183" t="s">
        <v>20</v>
      </c>
      <c r="E183" s="14" t="s">
        <v>632</v>
      </c>
      <c r="F183" t="s">
        <v>1367</v>
      </c>
      <c r="G183" s="8">
        <v>62839</v>
      </c>
      <c r="H183" s="8">
        <v>44806</v>
      </c>
      <c r="I183" s="8">
        <v>43940</v>
      </c>
      <c r="J183" s="9">
        <v>58514</v>
      </c>
      <c r="K183" s="8">
        <f>SUM(Table1[[#This Row],[Sales (Q1)]:[Sales (Q4)]])</f>
        <v>210099</v>
      </c>
      <c r="L183" s="2" t="str">
        <f>IF(Table1[[#This Row],[Employee Total Sales]]&gt;=200000,"High Performer",IF(Table1[[#This Row],[Employee Total Sales]]&gt;=180000,"Mid Performer","Low Performer"))</f>
        <v>High Performer</v>
      </c>
      <c r="M183" s="2" t="str">
        <f>IF(Table1[[#This Row],[Sales Performance]]="High Performer","Eligible for Promotion",IF(Table1[[#This Row],[Sales Performance]]="Low Performer","Review Cause Effect","Room For Growth"))</f>
        <v>Eligible for Promotion</v>
      </c>
    </row>
    <row r="184" spans="1:13" x14ac:dyDescent="0.35">
      <c r="A184">
        <v>201</v>
      </c>
      <c r="B184" t="s">
        <v>302</v>
      </c>
      <c r="C184" t="s">
        <v>39</v>
      </c>
      <c r="D184" t="s">
        <v>20</v>
      </c>
      <c r="E184" s="14" t="s">
        <v>303</v>
      </c>
      <c r="F184" t="s">
        <v>304</v>
      </c>
      <c r="G184" s="8">
        <v>52654</v>
      </c>
      <c r="H184" s="8">
        <v>53733</v>
      </c>
      <c r="I184" s="8">
        <v>50593</v>
      </c>
      <c r="J184" s="9">
        <v>52686</v>
      </c>
      <c r="K184" s="8">
        <f>SUM(Table1[[#This Row],[Sales (Q1)]:[Sales (Q4)]])</f>
        <v>209666</v>
      </c>
      <c r="L184" s="2" t="str">
        <f>IF(Table1[[#This Row],[Employee Total Sales]]&gt;=200000,"High Performer",IF(Table1[[#This Row],[Employee Total Sales]]&gt;=180000,"Mid Performer","Low Performer"))</f>
        <v>High Performer</v>
      </c>
      <c r="M184" s="2" t="str">
        <f>IF(Table1[[#This Row],[Sales Performance]]="High Performer","Eligible for Promotion",IF(Table1[[#This Row],[Sales Performance]]="Low Performer","Review Cause Effect","Room For Growth"))</f>
        <v>Eligible for Promotion</v>
      </c>
    </row>
    <row r="185" spans="1:13" x14ac:dyDescent="0.35">
      <c r="A185">
        <v>266</v>
      </c>
      <c r="B185" t="s">
        <v>464</v>
      </c>
      <c r="C185" t="s">
        <v>32</v>
      </c>
      <c r="D185" t="s">
        <v>12</v>
      </c>
      <c r="E185" s="14" t="s">
        <v>465</v>
      </c>
      <c r="F185" t="s">
        <v>1368</v>
      </c>
      <c r="G185" s="8">
        <v>76275</v>
      </c>
      <c r="H185" s="8">
        <v>76552</v>
      </c>
      <c r="I185" s="8">
        <v>20805</v>
      </c>
      <c r="J185" s="9">
        <v>36026</v>
      </c>
      <c r="K185" s="8">
        <f>SUM(Table1[[#This Row],[Sales (Q1)]:[Sales (Q4)]])</f>
        <v>209658</v>
      </c>
      <c r="L185" s="2" t="str">
        <f>IF(Table1[[#This Row],[Employee Total Sales]]&gt;=200000,"High Performer",IF(Table1[[#This Row],[Employee Total Sales]]&gt;=180000,"Mid Performer","Low Performer"))</f>
        <v>High Performer</v>
      </c>
      <c r="M185" s="2" t="str">
        <f>IF(Table1[[#This Row],[Sales Performance]]="High Performer","Eligible for Promotion",IF(Table1[[#This Row],[Sales Performance]]="Low Performer","Review Cause Effect","Room For Growth"))</f>
        <v>Eligible for Promotion</v>
      </c>
    </row>
    <row r="186" spans="1:13" x14ac:dyDescent="0.35">
      <c r="A186">
        <v>544</v>
      </c>
      <c r="B186" t="s">
        <v>652</v>
      </c>
      <c r="C186" t="s">
        <v>32</v>
      </c>
      <c r="D186" t="s">
        <v>43</v>
      </c>
      <c r="E186" s="14" t="s">
        <v>1369</v>
      </c>
      <c r="F186" t="s">
        <v>1370</v>
      </c>
      <c r="G186" s="8">
        <v>67769</v>
      </c>
      <c r="H186" s="8">
        <v>71265</v>
      </c>
      <c r="I186" s="8">
        <v>37978</v>
      </c>
      <c r="J186" s="9">
        <v>32573</v>
      </c>
      <c r="K186" s="8">
        <f>SUM(Table1[[#This Row],[Sales (Q1)]:[Sales (Q4)]])</f>
        <v>209585</v>
      </c>
      <c r="L186" s="2" t="str">
        <f>IF(Table1[[#This Row],[Employee Total Sales]]&gt;=200000,"High Performer",IF(Table1[[#This Row],[Employee Total Sales]]&gt;=180000,"Mid Performer","Low Performer"))</f>
        <v>High Performer</v>
      </c>
      <c r="M186" s="2" t="str">
        <f>IF(Table1[[#This Row],[Sales Performance]]="High Performer","Eligible for Promotion",IF(Table1[[#This Row],[Sales Performance]]="Low Performer","Review Cause Effect","Room For Growth"))</f>
        <v>Eligible for Promotion</v>
      </c>
    </row>
    <row r="187" spans="1:13" x14ac:dyDescent="0.35">
      <c r="A187">
        <v>227</v>
      </c>
      <c r="B187" t="s">
        <v>128</v>
      </c>
      <c r="C187" t="s">
        <v>16</v>
      </c>
      <c r="D187" t="s">
        <v>28</v>
      </c>
      <c r="E187" s="14" t="s">
        <v>1196</v>
      </c>
      <c r="F187" t="s">
        <v>1371</v>
      </c>
      <c r="G187" s="8">
        <v>37090</v>
      </c>
      <c r="H187" s="8">
        <v>56261</v>
      </c>
      <c r="I187" s="8">
        <v>58275</v>
      </c>
      <c r="J187" s="9">
        <v>57954</v>
      </c>
      <c r="K187" s="8">
        <f>SUM(Table1[[#This Row],[Sales (Q1)]:[Sales (Q4)]])</f>
        <v>209580</v>
      </c>
      <c r="L187" s="2" t="str">
        <f>IF(Table1[[#This Row],[Employee Total Sales]]&gt;=200000,"High Performer",IF(Table1[[#This Row],[Employee Total Sales]]&gt;=180000,"Mid Performer","Low Performer"))</f>
        <v>High Performer</v>
      </c>
      <c r="M187" s="2" t="str">
        <f>IF(Table1[[#This Row],[Sales Performance]]="High Performer","Eligible for Promotion",IF(Table1[[#This Row],[Sales Performance]]="Low Performer","Review Cause Effect","Room For Growth"))</f>
        <v>Eligible for Promotion</v>
      </c>
    </row>
    <row r="188" spans="1:13" x14ac:dyDescent="0.35">
      <c r="A188">
        <v>409</v>
      </c>
      <c r="B188" t="s">
        <v>277</v>
      </c>
      <c r="C188" t="s">
        <v>11</v>
      </c>
      <c r="D188" t="s">
        <v>28</v>
      </c>
      <c r="E188" s="14" t="s">
        <v>278</v>
      </c>
      <c r="F188" t="s">
        <v>1372</v>
      </c>
      <c r="G188" s="8">
        <v>44524</v>
      </c>
      <c r="H188" s="8">
        <v>71442</v>
      </c>
      <c r="I188" s="8">
        <v>22450</v>
      </c>
      <c r="J188" s="9">
        <v>70973</v>
      </c>
      <c r="K188" s="8">
        <f>SUM(Table1[[#This Row],[Sales (Q1)]:[Sales (Q4)]])</f>
        <v>209389</v>
      </c>
      <c r="L188" s="2" t="str">
        <f>IF(Table1[[#This Row],[Employee Total Sales]]&gt;=200000,"High Performer",IF(Table1[[#This Row],[Employee Total Sales]]&gt;=180000,"Mid Performer","Low Performer"))</f>
        <v>High Performer</v>
      </c>
      <c r="M188" s="2" t="str">
        <f>IF(Table1[[#This Row],[Sales Performance]]="High Performer","Eligible for Promotion",IF(Table1[[#This Row],[Sales Performance]]="Low Performer","Review Cause Effect","Room For Growth"))</f>
        <v>Eligible for Promotion</v>
      </c>
    </row>
    <row r="189" spans="1:13" x14ac:dyDescent="0.35">
      <c r="A189">
        <v>311</v>
      </c>
      <c r="B189" t="s">
        <v>557</v>
      </c>
      <c r="C189" t="s">
        <v>11</v>
      </c>
      <c r="D189" t="s">
        <v>28</v>
      </c>
      <c r="E189" s="14" t="s">
        <v>570</v>
      </c>
      <c r="F189" t="s">
        <v>1373</v>
      </c>
      <c r="G189" s="8">
        <v>37583</v>
      </c>
      <c r="H189" s="8">
        <v>77571</v>
      </c>
      <c r="I189" s="8">
        <v>68042</v>
      </c>
      <c r="J189" s="9">
        <v>26091</v>
      </c>
      <c r="K189" s="8">
        <f>SUM(Table1[[#This Row],[Sales (Q1)]:[Sales (Q4)]])</f>
        <v>209287</v>
      </c>
      <c r="L189" s="2" t="str">
        <f>IF(Table1[[#This Row],[Employee Total Sales]]&gt;=200000,"High Performer",IF(Table1[[#This Row],[Employee Total Sales]]&gt;=180000,"Mid Performer","Low Performer"))</f>
        <v>High Performer</v>
      </c>
      <c r="M189" s="2" t="str">
        <f>IF(Table1[[#This Row],[Sales Performance]]="High Performer","Eligible for Promotion",IF(Table1[[#This Row],[Sales Performance]]="Low Performer","Review Cause Effect","Room For Growth"))</f>
        <v>Eligible for Promotion</v>
      </c>
    </row>
    <row r="190" spans="1:13" x14ac:dyDescent="0.35">
      <c r="A190">
        <v>421</v>
      </c>
      <c r="B190" t="s">
        <v>345</v>
      </c>
      <c r="C190" t="s">
        <v>27</v>
      </c>
      <c r="D190" t="s">
        <v>28</v>
      </c>
      <c r="E190" s="14" t="s">
        <v>346</v>
      </c>
      <c r="F190" t="s">
        <v>811</v>
      </c>
      <c r="G190" s="8">
        <v>32335</v>
      </c>
      <c r="H190" s="8">
        <v>56400</v>
      </c>
      <c r="I190" s="8">
        <v>45204</v>
      </c>
      <c r="J190" s="9">
        <v>75268</v>
      </c>
      <c r="K190" s="8">
        <f>SUM(Table1[[#This Row],[Sales (Q1)]:[Sales (Q4)]])</f>
        <v>209207</v>
      </c>
      <c r="L190" s="2" t="str">
        <f>IF(Table1[[#This Row],[Employee Total Sales]]&gt;=200000,"High Performer",IF(Table1[[#This Row],[Employee Total Sales]]&gt;=180000,"Mid Performer","Low Performer"))</f>
        <v>High Performer</v>
      </c>
      <c r="M190" s="2" t="str">
        <f>IF(Table1[[#This Row],[Sales Performance]]="High Performer","Eligible for Promotion",IF(Table1[[#This Row],[Sales Performance]]="Low Performer","Review Cause Effect","Room For Growth"))</f>
        <v>Eligible for Promotion</v>
      </c>
    </row>
    <row r="191" spans="1:13" x14ac:dyDescent="0.35">
      <c r="A191">
        <v>548</v>
      </c>
      <c r="B191" t="s">
        <v>46</v>
      </c>
      <c r="C191" t="s">
        <v>11</v>
      </c>
      <c r="D191" t="s">
        <v>20</v>
      </c>
      <c r="E191" s="14" t="s">
        <v>1719</v>
      </c>
      <c r="F191" t="s">
        <v>1374</v>
      </c>
      <c r="G191" s="8">
        <v>39757</v>
      </c>
      <c r="H191" s="8">
        <v>60025</v>
      </c>
      <c r="I191" s="8">
        <v>61037</v>
      </c>
      <c r="J191" s="9">
        <v>48301</v>
      </c>
      <c r="K191" s="8">
        <f>SUM(Table1[[#This Row],[Sales (Q1)]:[Sales (Q4)]])</f>
        <v>209120</v>
      </c>
      <c r="L191" s="2" t="str">
        <f>IF(Table1[[#This Row],[Employee Total Sales]]&gt;=200000,"High Performer",IF(Table1[[#This Row],[Employee Total Sales]]&gt;=180000,"Mid Performer","Low Performer"))</f>
        <v>High Performer</v>
      </c>
      <c r="M191" s="2" t="str">
        <f>IF(Table1[[#This Row],[Sales Performance]]="High Performer","Eligible for Promotion",IF(Table1[[#This Row],[Sales Performance]]="Low Performer","Review Cause Effect","Room For Growth"))</f>
        <v>Eligible for Promotion</v>
      </c>
    </row>
    <row r="192" spans="1:13" x14ac:dyDescent="0.35">
      <c r="A192">
        <v>395</v>
      </c>
      <c r="B192" t="s">
        <v>218</v>
      </c>
      <c r="C192" t="s">
        <v>16</v>
      </c>
      <c r="D192" t="s">
        <v>43</v>
      </c>
      <c r="E192" s="14" t="s">
        <v>1375</v>
      </c>
      <c r="F192" t="s">
        <v>1376</v>
      </c>
      <c r="G192" s="8">
        <v>78168</v>
      </c>
      <c r="H192" s="8">
        <v>36173</v>
      </c>
      <c r="I192" s="8">
        <v>48020</v>
      </c>
      <c r="J192" s="9">
        <v>46533</v>
      </c>
      <c r="K192" s="8">
        <f>SUM(Table1[[#This Row],[Sales (Q1)]:[Sales (Q4)]])</f>
        <v>208894</v>
      </c>
      <c r="L192" s="2" t="str">
        <f>IF(Table1[[#This Row],[Employee Total Sales]]&gt;=200000,"High Performer",IF(Table1[[#This Row],[Employee Total Sales]]&gt;=180000,"Mid Performer","Low Performer"))</f>
        <v>High Performer</v>
      </c>
      <c r="M192" s="2" t="str">
        <f>IF(Table1[[#This Row],[Sales Performance]]="High Performer","Eligible for Promotion",IF(Table1[[#This Row],[Sales Performance]]="Low Performer","Review Cause Effect","Room For Growth"))</f>
        <v>Eligible for Promotion</v>
      </c>
    </row>
    <row r="193" spans="1:13" x14ac:dyDescent="0.35">
      <c r="A193">
        <v>192</v>
      </c>
      <c r="B193" t="s">
        <v>277</v>
      </c>
      <c r="C193" t="s">
        <v>55</v>
      </c>
      <c r="D193" t="s">
        <v>28</v>
      </c>
      <c r="E193" s="14" t="s">
        <v>278</v>
      </c>
      <c r="F193" t="s">
        <v>1377</v>
      </c>
      <c r="G193" s="8">
        <v>60294</v>
      </c>
      <c r="H193" s="8">
        <v>48504</v>
      </c>
      <c r="I193" s="8">
        <v>37993</v>
      </c>
      <c r="J193" s="9">
        <v>61908</v>
      </c>
      <c r="K193" s="8">
        <f>SUM(Table1[[#This Row],[Sales (Q1)]:[Sales (Q4)]])</f>
        <v>208699</v>
      </c>
      <c r="L193" s="2" t="str">
        <f>IF(Table1[[#This Row],[Employee Total Sales]]&gt;=200000,"High Performer",IF(Table1[[#This Row],[Employee Total Sales]]&gt;=180000,"Mid Performer","Low Performer"))</f>
        <v>High Performer</v>
      </c>
      <c r="M193" s="2" t="str">
        <f>IF(Table1[[#This Row],[Sales Performance]]="High Performer","Eligible for Promotion",IF(Table1[[#This Row],[Sales Performance]]="Low Performer","Review Cause Effect","Room For Growth"))</f>
        <v>Eligible for Promotion</v>
      </c>
    </row>
    <row r="194" spans="1:13" x14ac:dyDescent="0.35">
      <c r="A194">
        <v>299</v>
      </c>
      <c r="B194" t="s">
        <v>543</v>
      </c>
      <c r="C194" t="s">
        <v>11</v>
      </c>
      <c r="D194" t="s">
        <v>28</v>
      </c>
      <c r="E194" s="14" t="s">
        <v>809</v>
      </c>
      <c r="F194" t="s">
        <v>1378</v>
      </c>
      <c r="G194" s="8">
        <v>70166</v>
      </c>
      <c r="H194" s="8">
        <v>35748</v>
      </c>
      <c r="I194" s="8">
        <v>78961</v>
      </c>
      <c r="J194" s="9">
        <v>23720</v>
      </c>
      <c r="K194" s="8">
        <f>SUM(Table1[[#This Row],[Sales (Q1)]:[Sales (Q4)]])</f>
        <v>208595</v>
      </c>
      <c r="L194" s="2" t="str">
        <f>IF(Table1[[#This Row],[Employee Total Sales]]&gt;=200000,"High Performer",IF(Table1[[#This Row],[Employee Total Sales]]&gt;=180000,"Mid Performer","Low Performer"))</f>
        <v>High Performer</v>
      </c>
      <c r="M194" s="2" t="str">
        <f>IF(Table1[[#This Row],[Sales Performance]]="High Performer","Eligible for Promotion",IF(Table1[[#This Row],[Sales Performance]]="Low Performer","Review Cause Effect","Room For Growth"))</f>
        <v>Eligible for Promotion</v>
      </c>
    </row>
    <row r="195" spans="1:13" x14ac:dyDescent="0.35">
      <c r="A195">
        <v>507</v>
      </c>
      <c r="B195" t="s">
        <v>984</v>
      </c>
      <c r="C195" t="s">
        <v>16</v>
      </c>
      <c r="D195" t="s">
        <v>20</v>
      </c>
      <c r="E195" s="14" t="s">
        <v>985</v>
      </c>
      <c r="F195" t="s">
        <v>1379</v>
      </c>
      <c r="G195" s="8">
        <v>63615</v>
      </c>
      <c r="H195" s="8">
        <v>26298</v>
      </c>
      <c r="I195" s="8">
        <v>74529</v>
      </c>
      <c r="J195" s="9">
        <v>44081</v>
      </c>
      <c r="K195" s="8">
        <f>SUM(Table1[[#This Row],[Sales (Q1)]:[Sales (Q4)]])</f>
        <v>208523</v>
      </c>
      <c r="L195" s="2" t="str">
        <f>IF(Table1[[#This Row],[Employee Total Sales]]&gt;=200000,"High Performer",IF(Table1[[#This Row],[Employee Total Sales]]&gt;=180000,"Mid Performer","Low Performer"))</f>
        <v>High Performer</v>
      </c>
      <c r="M195" s="2" t="str">
        <f>IF(Table1[[#This Row],[Sales Performance]]="High Performer","Eligible for Promotion",IF(Table1[[#This Row],[Sales Performance]]="Low Performer","Review Cause Effect","Room For Growth"))</f>
        <v>Eligible for Promotion</v>
      </c>
    </row>
    <row r="196" spans="1:13" x14ac:dyDescent="0.35">
      <c r="A196">
        <v>277</v>
      </c>
      <c r="B196" t="s">
        <v>104</v>
      </c>
      <c r="C196" t="s">
        <v>27</v>
      </c>
      <c r="D196" t="s">
        <v>12</v>
      </c>
      <c r="E196" s="14" t="s">
        <v>1380</v>
      </c>
      <c r="F196" t="s">
        <v>1381</v>
      </c>
      <c r="G196" s="8">
        <v>34353</v>
      </c>
      <c r="H196" s="8">
        <v>21920</v>
      </c>
      <c r="I196" s="8">
        <v>78704</v>
      </c>
      <c r="J196" s="9">
        <v>73129</v>
      </c>
      <c r="K196" s="8">
        <f>SUM(Table1[[#This Row],[Sales (Q1)]:[Sales (Q4)]])</f>
        <v>208106</v>
      </c>
      <c r="L196" s="2" t="str">
        <f>IF(Table1[[#This Row],[Employee Total Sales]]&gt;=200000,"High Performer",IF(Table1[[#This Row],[Employee Total Sales]]&gt;=180000,"Mid Performer","Low Performer"))</f>
        <v>High Performer</v>
      </c>
      <c r="M196" s="2" t="str">
        <f>IF(Table1[[#This Row],[Sales Performance]]="High Performer","Eligible for Promotion",IF(Table1[[#This Row],[Sales Performance]]="Low Performer","Review Cause Effect","Room For Growth"))</f>
        <v>Eligible for Promotion</v>
      </c>
    </row>
    <row r="197" spans="1:13" x14ac:dyDescent="0.35">
      <c r="A197">
        <v>103</v>
      </c>
      <c r="B197" t="s">
        <v>19</v>
      </c>
      <c r="C197" t="s">
        <v>11</v>
      </c>
      <c r="D197" t="s">
        <v>20</v>
      </c>
      <c r="E197" s="14" t="s">
        <v>1720</v>
      </c>
      <c r="F197" t="s">
        <v>1382</v>
      </c>
      <c r="G197" s="8">
        <v>63336</v>
      </c>
      <c r="H197" s="8">
        <v>34935</v>
      </c>
      <c r="I197" s="8">
        <v>70663</v>
      </c>
      <c r="J197" s="9">
        <v>38965</v>
      </c>
      <c r="K197" s="8">
        <f>SUM(Table1[[#This Row],[Sales (Q1)]:[Sales (Q4)]])</f>
        <v>207899</v>
      </c>
      <c r="L197" s="2" t="str">
        <f>IF(Table1[[#This Row],[Employee Total Sales]]&gt;=200000,"High Performer",IF(Table1[[#This Row],[Employee Total Sales]]&gt;=180000,"Mid Performer","Low Performer"))</f>
        <v>High Performer</v>
      </c>
      <c r="M197" s="2" t="str">
        <f>IF(Table1[[#This Row],[Sales Performance]]="High Performer","Eligible for Promotion",IF(Table1[[#This Row],[Sales Performance]]="Low Performer","Review Cause Effect","Room For Growth"))</f>
        <v>Eligible for Promotion</v>
      </c>
    </row>
    <row r="198" spans="1:13" x14ac:dyDescent="0.35">
      <c r="A198">
        <v>241</v>
      </c>
      <c r="B198" t="s">
        <v>401</v>
      </c>
      <c r="C198" t="s">
        <v>11</v>
      </c>
      <c r="D198" t="s">
        <v>43</v>
      </c>
      <c r="E198" s="14" t="s">
        <v>1330</v>
      </c>
      <c r="F198" t="s">
        <v>1383</v>
      </c>
      <c r="G198" s="8">
        <v>63166</v>
      </c>
      <c r="H198" s="8">
        <v>30101</v>
      </c>
      <c r="I198" s="8">
        <v>66873</v>
      </c>
      <c r="J198" s="9">
        <v>47730</v>
      </c>
      <c r="K198" s="8">
        <f>SUM(Table1[[#This Row],[Sales (Q1)]:[Sales (Q4)]])</f>
        <v>207870</v>
      </c>
      <c r="L198" s="2" t="str">
        <f>IF(Table1[[#This Row],[Employee Total Sales]]&gt;=200000,"High Performer",IF(Table1[[#This Row],[Employee Total Sales]]&gt;=180000,"Mid Performer","Low Performer"))</f>
        <v>High Performer</v>
      </c>
      <c r="M198" s="2" t="str">
        <f>IF(Table1[[#This Row],[Sales Performance]]="High Performer","Eligible for Promotion",IF(Table1[[#This Row],[Sales Performance]]="Low Performer","Review Cause Effect","Room For Growth"))</f>
        <v>Eligible for Promotion</v>
      </c>
    </row>
    <row r="199" spans="1:13" x14ac:dyDescent="0.35">
      <c r="A199">
        <v>599</v>
      </c>
      <c r="B199" t="s">
        <v>464</v>
      </c>
      <c r="C199" t="s">
        <v>39</v>
      </c>
      <c r="D199" t="s">
        <v>12</v>
      </c>
      <c r="E199" s="14" t="s">
        <v>1159</v>
      </c>
      <c r="F199" t="s">
        <v>1384</v>
      </c>
      <c r="G199" s="8">
        <v>66146</v>
      </c>
      <c r="H199" s="8">
        <v>44687</v>
      </c>
      <c r="I199" s="8">
        <v>23854</v>
      </c>
      <c r="J199" s="9">
        <v>73097</v>
      </c>
      <c r="K199" s="8">
        <f>SUM(Table1[[#This Row],[Sales (Q1)]:[Sales (Q4)]])</f>
        <v>207784</v>
      </c>
      <c r="L199" s="2" t="str">
        <f>IF(Table1[[#This Row],[Employee Total Sales]]&gt;=200000,"High Performer",IF(Table1[[#This Row],[Employee Total Sales]]&gt;=180000,"Mid Performer","Low Performer"))</f>
        <v>High Performer</v>
      </c>
      <c r="M199" s="2" t="str">
        <f>IF(Table1[[#This Row],[Sales Performance]]="High Performer","Eligible for Promotion",IF(Table1[[#This Row],[Sales Performance]]="Low Performer","Review Cause Effect","Room For Growth"))</f>
        <v>Eligible for Promotion</v>
      </c>
    </row>
    <row r="200" spans="1:13" x14ac:dyDescent="0.35">
      <c r="A200">
        <v>107</v>
      </c>
      <c r="B200" t="s">
        <v>35</v>
      </c>
      <c r="C200" t="s">
        <v>11</v>
      </c>
      <c r="D200" t="s">
        <v>28</v>
      </c>
      <c r="E200" s="14" t="s">
        <v>126</v>
      </c>
      <c r="F200" t="s">
        <v>1385</v>
      </c>
      <c r="G200" s="8">
        <v>52806</v>
      </c>
      <c r="H200" s="8">
        <v>69935</v>
      </c>
      <c r="I200" s="8">
        <v>31708</v>
      </c>
      <c r="J200" s="9">
        <v>53271</v>
      </c>
      <c r="K200" s="8">
        <f>SUM(Table1[[#This Row],[Sales (Q1)]:[Sales (Q4)]])</f>
        <v>207720</v>
      </c>
      <c r="L200" s="2" t="str">
        <f>IF(Table1[[#This Row],[Employee Total Sales]]&gt;=200000,"High Performer",IF(Table1[[#This Row],[Employee Total Sales]]&gt;=180000,"Mid Performer","Low Performer"))</f>
        <v>High Performer</v>
      </c>
      <c r="M200" s="2" t="str">
        <f>IF(Table1[[#This Row],[Sales Performance]]="High Performer","Eligible for Promotion",IF(Table1[[#This Row],[Sales Performance]]="Low Performer","Review Cause Effect","Room For Growth"))</f>
        <v>Eligible for Promotion</v>
      </c>
    </row>
    <row r="201" spans="1:13" x14ac:dyDescent="0.35">
      <c r="A201">
        <v>254</v>
      </c>
      <c r="B201" t="s">
        <v>114</v>
      </c>
      <c r="C201" t="s">
        <v>39</v>
      </c>
      <c r="D201" t="s">
        <v>12</v>
      </c>
      <c r="E201" s="14" t="s">
        <v>319</v>
      </c>
      <c r="F201" t="s">
        <v>1386</v>
      </c>
      <c r="G201" s="8">
        <v>46401</v>
      </c>
      <c r="H201" s="8">
        <v>53791</v>
      </c>
      <c r="I201" s="8">
        <v>69139</v>
      </c>
      <c r="J201" s="9">
        <v>38233</v>
      </c>
      <c r="K201" s="8">
        <f>SUM(Table1[[#This Row],[Sales (Q1)]:[Sales (Q4)]])</f>
        <v>207564</v>
      </c>
      <c r="L201" s="2" t="str">
        <f>IF(Table1[[#This Row],[Employee Total Sales]]&gt;=200000,"High Performer",IF(Table1[[#This Row],[Employee Total Sales]]&gt;=180000,"Mid Performer","Low Performer"))</f>
        <v>High Performer</v>
      </c>
      <c r="M201" s="2" t="str">
        <f>IF(Table1[[#This Row],[Sales Performance]]="High Performer","Eligible for Promotion",IF(Table1[[#This Row],[Sales Performance]]="Low Performer","Review Cause Effect","Room For Growth"))</f>
        <v>Eligible for Promotion</v>
      </c>
    </row>
    <row r="202" spans="1:13" x14ac:dyDescent="0.35">
      <c r="A202">
        <v>559</v>
      </c>
      <c r="B202" t="s">
        <v>376</v>
      </c>
      <c r="C202" t="s">
        <v>111</v>
      </c>
      <c r="D202" t="s">
        <v>20</v>
      </c>
      <c r="E202" s="14" t="s">
        <v>1387</v>
      </c>
      <c r="F202" t="s">
        <v>1388</v>
      </c>
      <c r="G202" s="8">
        <v>57445</v>
      </c>
      <c r="H202" s="8">
        <v>30302</v>
      </c>
      <c r="I202" s="8">
        <v>75209</v>
      </c>
      <c r="J202" s="9">
        <v>44517</v>
      </c>
      <c r="K202" s="8">
        <f>SUM(Table1[[#This Row],[Sales (Q1)]:[Sales (Q4)]])</f>
        <v>207473</v>
      </c>
      <c r="L202" s="2" t="str">
        <f>IF(Table1[[#This Row],[Employee Total Sales]]&gt;=200000,"High Performer",IF(Table1[[#This Row],[Employee Total Sales]]&gt;=180000,"Mid Performer","Low Performer"))</f>
        <v>High Performer</v>
      </c>
      <c r="M202" s="2" t="str">
        <f>IF(Table1[[#This Row],[Sales Performance]]="High Performer","Eligible for Promotion",IF(Table1[[#This Row],[Sales Performance]]="Low Performer","Review Cause Effect","Room For Growth"))</f>
        <v>Eligible for Promotion</v>
      </c>
    </row>
    <row r="203" spans="1:13" x14ac:dyDescent="0.35">
      <c r="A203">
        <v>252</v>
      </c>
      <c r="B203" t="s">
        <v>143</v>
      </c>
      <c r="C203" t="s">
        <v>16</v>
      </c>
      <c r="D203" t="s">
        <v>12</v>
      </c>
      <c r="E203" s="14" t="s">
        <v>430</v>
      </c>
      <c r="F203" t="s">
        <v>1389</v>
      </c>
      <c r="G203" s="8">
        <v>29124</v>
      </c>
      <c r="H203" s="8">
        <v>71435</v>
      </c>
      <c r="I203" s="8">
        <v>33541</v>
      </c>
      <c r="J203" s="9">
        <v>73315</v>
      </c>
      <c r="K203" s="8">
        <f>SUM(Table1[[#This Row],[Sales (Q1)]:[Sales (Q4)]])</f>
        <v>207415</v>
      </c>
      <c r="L203" s="2" t="str">
        <f>IF(Table1[[#This Row],[Employee Total Sales]]&gt;=200000,"High Performer",IF(Table1[[#This Row],[Employee Total Sales]]&gt;=180000,"Mid Performer","Low Performer"))</f>
        <v>High Performer</v>
      </c>
      <c r="M203" s="2" t="str">
        <f>IF(Table1[[#This Row],[Sales Performance]]="High Performer","Eligible for Promotion",IF(Table1[[#This Row],[Sales Performance]]="Low Performer","Review Cause Effect","Room For Growth"))</f>
        <v>Eligible for Promotion</v>
      </c>
    </row>
    <row r="204" spans="1:13" x14ac:dyDescent="0.35">
      <c r="A204">
        <v>268</v>
      </c>
      <c r="B204" t="s">
        <v>470</v>
      </c>
      <c r="C204" t="s">
        <v>27</v>
      </c>
      <c r="D204" t="s">
        <v>28</v>
      </c>
      <c r="E204" s="14" t="s">
        <v>1390</v>
      </c>
      <c r="F204" t="s">
        <v>472</v>
      </c>
      <c r="G204" s="8">
        <v>39109</v>
      </c>
      <c r="H204" s="8">
        <v>56949</v>
      </c>
      <c r="I204" s="8">
        <v>71413</v>
      </c>
      <c r="J204" s="9">
        <v>39917</v>
      </c>
      <c r="K204" s="8">
        <f>SUM(Table1[[#This Row],[Sales (Q1)]:[Sales (Q4)]])</f>
        <v>207388</v>
      </c>
      <c r="L204" s="2" t="str">
        <f>IF(Table1[[#This Row],[Employee Total Sales]]&gt;=200000,"High Performer",IF(Table1[[#This Row],[Employee Total Sales]]&gt;=180000,"Mid Performer","Low Performer"))</f>
        <v>High Performer</v>
      </c>
      <c r="M204" s="2" t="str">
        <f>IF(Table1[[#This Row],[Sales Performance]]="High Performer","Eligible for Promotion",IF(Table1[[#This Row],[Sales Performance]]="Low Performer","Review Cause Effect","Room For Growth"))</f>
        <v>Eligible for Promotion</v>
      </c>
    </row>
    <row r="205" spans="1:13" x14ac:dyDescent="0.35">
      <c r="A205">
        <v>415</v>
      </c>
      <c r="B205" t="s">
        <v>162</v>
      </c>
      <c r="C205" t="s">
        <v>27</v>
      </c>
      <c r="D205" t="s">
        <v>20</v>
      </c>
      <c r="E205" s="14" t="s">
        <v>798</v>
      </c>
      <c r="F205" t="s">
        <v>1391</v>
      </c>
      <c r="G205" s="8">
        <v>45695</v>
      </c>
      <c r="H205" s="8">
        <v>32016</v>
      </c>
      <c r="I205" s="8">
        <v>65849</v>
      </c>
      <c r="J205" s="9">
        <v>63593</v>
      </c>
      <c r="K205" s="8">
        <f>SUM(Table1[[#This Row],[Sales (Q1)]:[Sales (Q4)]])</f>
        <v>207153</v>
      </c>
      <c r="L205" s="2" t="str">
        <f>IF(Table1[[#This Row],[Employee Total Sales]]&gt;=200000,"High Performer",IF(Table1[[#This Row],[Employee Total Sales]]&gt;=180000,"Mid Performer","Low Performer"))</f>
        <v>High Performer</v>
      </c>
      <c r="M205" s="2" t="str">
        <f>IF(Table1[[#This Row],[Sales Performance]]="High Performer","Eligible for Promotion",IF(Table1[[#This Row],[Sales Performance]]="Low Performer","Review Cause Effect","Room For Growth"))</f>
        <v>Eligible for Promotion</v>
      </c>
    </row>
    <row r="206" spans="1:13" x14ac:dyDescent="0.35">
      <c r="A206">
        <v>406</v>
      </c>
      <c r="B206" t="s">
        <v>443</v>
      </c>
      <c r="C206" t="s">
        <v>11</v>
      </c>
      <c r="D206" t="s">
        <v>12</v>
      </c>
      <c r="E206" s="14" t="s">
        <v>777</v>
      </c>
      <c r="F206" t="s">
        <v>1392</v>
      </c>
      <c r="G206" s="8">
        <v>67474</v>
      </c>
      <c r="H206" s="8">
        <v>57284</v>
      </c>
      <c r="I206" s="8">
        <v>60369</v>
      </c>
      <c r="J206" s="9">
        <v>21908</v>
      </c>
      <c r="K206" s="8">
        <f>SUM(Table1[[#This Row],[Sales (Q1)]:[Sales (Q4)]])</f>
        <v>207035</v>
      </c>
      <c r="L206" s="2" t="str">
        <f>IF(Table1[[#This Row],[Employee Total Sales]]&gt;=200000,"High Performer",IF(Table1[[#This Row],[Employee Total Sales]]&gt;=180000,"Mid Performer","Low Performer"))</f>
        <v>High Performer</v>
      </c>
      <c r="M206" s="2" t="str">
        <f>IF(Table1[[#This Row],[Sales Performance]]="High Performer","Eligible for Promotion",IF(Table1[[#This Row],[Sales Performance]]="Low Performer","Review Cause Effect","Room For Growth"))</f>
        <v>Eligible for Promotion</v>
      </c>
    </row>
    <row r="207" spans="1:13" x14ac:dyDescent="0.35">
      <c r="A207">
        <v>274</v>
      </c>
      <c r="B207" t="s">
        <v>199</v>
      </c>
      <c r="C207" t="s">
        <v>27</v>
      </c>
      <c r="D207" t="s">
        <v>43</v>
      </c>
      <c r="E207" s="14" t="s">
        <v>200</v>
      </c>
      <c r="F207" t="s">
        <v>1393</v>
      </c>
      <c r="G207" s="8">
        <v>73038</v>
      </c>
      <c r="H207" s="8">
        <v>28440</v>
      </c>
      <c r="I207" s="8">
        <v>26027</v>
      </c>
      <c r="J207" s="9">
        <v>79315</v>
      </c>
      <c r="K207" s="8">
        <f>SUM(Table1[[#This Row],[Sales (Q1)]:[Sales (Q4)]])</f>
        <v>206820</v>
      </c>
      <c r="L207" s="2" t="str">
        <f>IF(Table1[[#This Row],[Employee Total Sales]]&gt;=200000,"High Performer",IF(Table1[[#This Row],[Employee Total Sales]]&gt;=180000,"Mid Performer","Low Performer"))</f>
        <v>High Performer</v>
      </c>
      <c r="M207" s="2" t="str">
        <f>IF(Table1[[#This Row],[Sales Performance]]="High Performer","Eligible for Promotion",IF(Table1[[#This Row],[Sales Performance]]="Low Performer","Review Cause Effect","Room For Growth"))</f>
        <v>Eligible for Promotion</v>
      </c>
    </row>
    <row r="208" spans="1:13" x14ac:dyDescent="0.35">
      <c r="A208">
        <v>503</v>
      </c>
      <c r="B208" t="s">
        <v>83</v>
      </c>
      <c r="C208" t="s">
        <v>16</v>
      </c>
      <c r="D208" t="s">
        <v>28</v>
      </c>
      <c r="E208" s="14" t="s">
        <v>1394</v>
      </c>
      <c r="F208" t="s">
        <v>1395</v>
      </c>
      <c r="G208" s="8">
        <v>31839</v>
      </c>
      <c r="H208" s="8">
        <v>74719</v>
      </c>
      <c r="I208" s="8">
        <v>31029</v>
      </c>
      <c r="J208" s="9">
        <v>69147</v>
      </c>
      <c r="K208" s="8">
        <f>SUM(Table1[[#This Row],[Sales (Q1)]:[Sales (Q4)]])</f>
        <v>206734</v>
      </c>
      <c r="L208" s="2" t="str">
        <f>IF(Table1[[#This Row],[Employee Total Sales]]&gt;=200000,"High Performer",IF(Table1[[#This Row],[Employee Total Sales]]&gt;=180000,"Mid Performer","Low Performer"))</f>
        <v>High Performer</v>
      </c>
      <c r="M208" s="2" t="str">
        <f>IF(Table1[[#This Row],[Sales Performance]]="High Performer","Eligible for Promotion",IF(Table1[[#This Row],[Sales Performance]]="Low Performer","Review Cause Effect","Room For Growth"))</f>
        <v>Eligible for Promotion</v>
      </c>
    </row>
    <row r="209" spans="1:13" x14ac:dyDescent="0.35">
      <c r="A209">
        <v>558</v>
      </c>
      <c r="B209" t="s">
        <v>1082</v>
      </c>
      <c r="C209" t="s">
        <v>11</v>
      </c>
      <c r="D209" t="s">
        <v>28</v>
      </c>
      <c r="E209" s="14" t="s">
        <v>1396</v>
      </c>
      <c r="F209" t="s">
        <v>1084</v>
      </c>
      <c r="G209" s="8">
        <v>41091</v>
      </c>
      <c r="H209" s="8">
        <v>66693</v>
      </c>
      <c r="I209" s="8">
        <v>44502</v>
      </c>
      <c r="J209" s="9">
        <v>54437</v>
      </c>
      <c r="K209" s="8">
        <f>SUM(Table1[[#This Row],[Sales (Q1)]:[Sales (Q4)]])</f>
        <v>206723</v>
      </c>
      <c r="L209" s="2" t="str">
        <f>IF(Table1[[#This Row],[Employee Total Sales]]&gt;=200000,"High Performer",IF(Table1[[#This Row],[Employee Total Sales]]&gt;=180000,"Mid Performer","Low Performer"))</f>
        <v>High Performer</v>
      </c>
      <c r="M209" s="2" t="str">
        <f>IF(Table1[[#This Row],[Sales Performance]]="High Performer","Eligible for Promotion",IF(Table1[[#This Row],[Sales Performance]]="Low Performer","Review Cause Effect","Room For Growth"))</f>
        <v>Eligible for Promotion</v>
      </c>
    </row>
    <row r="210" spans="1:13" x14ac:dyDescent="0.35">
      <c r="A210">
        <v>479</v>
      </c>
      <c r="B210" t="s">
        <v>110</v>
      </c>
      <c r="C210" t="s">
        <v>16</v>
      </c>
      <c r="D210" t="s">
        <v>20</v>
      </c>
      <c r="E210" s="14" t="s">
        <v>933</v>
      </c>
      <c r="F210" t="s">
        <v>1397</v>
      </c>
      <c r="G210" s="8">
        <v>51945</v>
      </c>
      <c r="H210" s="8">
        <v>70070</v>
      </c>
      <c r="I210" s="8">
        <v>27168</v>
      </c>
      <c r="J210" s="9">
        <v>57280</v>
      </c>
      <c r="K210" s="8">
        <f>SUM(Table1[[#This Row],[Sales (Q1)]:[Sales (Q4)]])</f>
        <v>206463</v>
      </c>
      <c r="L210" s="2" t="str">
        <f>IF(Table1[[#This Row],[Employee Total Sales]]&gt;=200000,"High Performer",IF(Table1[[#This Row],[Employee Total Sales]]&gt;=180000,"Mid Performer","Low Performer"))</f>
        <v>High Performer</v>
      </c>
      <c r="M210" s="2" t="str">
        <f>IF(Table1[[#This Row],[Sales Performance]]="High Performer","Eligible for Promotion",IF(Table1[[#This Row],[Sales Performance]]="Low Performer","Review Cause Effect","Room For Growth"))</f>
        <v>Eligible for Promotion</v>
      </c>
    </row>
    <row r="211" spans="1:13" x14ac:dyDescent="0.35">
      <c r="A211">
        <v>153</v>
      </c>
      <c r="B211" t="s">
        <v>110</v>
      </c>
      <c r="C211" t="s">
        <v>111</v>
      </c>
      <c r="D211" t="s">
        <v>20</v>
      </c>
      <c r="E211" s="14" t="s">
        <v>1721</v>
      </c>
      <c r="F211" t="s">
        <v>172</v>
      </c>
      <c r="G211" s="8">
        <v>65482</v>
      </c>
      <c r="H211" s="8">
        <v>39625</v>
      </c>
      <c r="I211" s="8">
        <v>79206</v>
      </c>
      <c r="J211" s="9">
        <v>21897</v>
      </c>
      <c r="K211" s="8">
        <f>SUM(Table1[[#This Row],[Sales (Q1)]:[Sales (Q4)]])</f>
        <v>206210</v>
      </c>
      <c r="L211" s="2" t="str">
        <f>IF(Table1[[#This Row],[Employee Total Sales]]&gt;=200000,"High Performer",IF(Table1[[#This Row],[Employee Total Sales]]&gt;=180000,"Mid Performer","Low Performer"))</f>
        <v>High Performer</v>
      </c>
      <c r="M211" s="2" t="str">
        <f>IF(Table1[[#This Row],[Sales Performance]]="High Performer","Eligible for Promotion",IF(Table1[[#This Row],[Sales Performance]]="Low Performer","Review Cause Effect","Room For Growth"))</f>
        <v>Eligible for Promotion</v>
      </c>
    </row>
    <row r="212" spans="1:13" x14ac:dyDescent="0.35">
      <c r="A212">
        <v>346</v>
      </c>
      <c r="B212" t="s">
        <v>117</v>
      </c>
      <c r="C212" t="s">
        <v>11</v>
      </c>
      <c r="D212" t="s">
        <v>12</v>
      </c>
      <c r="E212" s="14" t="s">
        <v>118</v>
      </c>
      <c r="F212" t="s">
        <v>1398</v>
      </c>
      <c r="G212" s="8">
        <v>69477</v>
      </c>
      <c r="H212" s="8">
        <v>33349</v>
      </c>
      <c r="I212" s="8">
        <v>47081</v>
      </c>
      <c r="J212" s="9">
        <v>56182</v>
      </c>
      <c r="K212" s="8">
        <f>SUM(Table1[[#This Row],[Sales (Q1)]:[Sales (Q4)]])</f>
        <v>206089</v>
      </c>
      <c r="L212" s="2" t="str">
        <f>IF(Table1[[#This Row],[Employee Total Sales]]&gt;=200000,"High Performer",IF(Table1[[#This Row],[Employee Total Sales]]&gt;=180000,"Mid Performer","Low Performer"))</f>
        <v>High Performer</v>
      </c>
      <c r="M212" s="2" t="str">
        <f>IF(Table1[[#This Row],[Sales Performance]]="High Performer","Eligible for Promotion",IF(Table1[[#This Row],[Sales Performance]]="Low Performer","Review Cause Effect","Room For Growth"))</f>
        <v>Eligible for Promotion</v>
      </c>
    </row>
    <row r="213" spans="1:13" x14ac:dyDescent="0.35">
      <c r="A213">
        <v>600</v>
      </c>
      <c r="B213" t="s">
        <v>550</v>
      </c>
      <c r="C213" t="s">
        <v>27</v>
      </c>
      <c r="D213" t="s">
        <v>43</v>
      </c>
      <c r="E213" s="14" t="s">
        <v>1319</v>
      </c>
      <c r="F213" t="s">
        <v>1399</v>
      </c>
      <c r="G213" s="8">
        <v>42112</v>
      </c>
      <c r="H213" s="8">
        <v>47684</v>
      </c>
      <c r="I213" s="8">
        <v>64426</v>
      </c>
      <c r="J213" s="9">
        <v>51026</v>
      </c>
      <c r="K213" s="8">
        <f>SUM(Table1[[#This Row],[Sales (Q1)]:[Sales (Q4)]])</f>
        <v>205248</v>
      </c>
      <c r="L213" s="2" t="str">
        <f>IF(Table1[[#This Row],[Employee Total Sales]]&gt;=200000,"High Performer",IF(Table1[[#This Row],[Employee Total Sales]]&gt;=180000,"Mid Performer","Low Performer"))</f>
        <v>High Performer</v>
      </c>
      <c r="M213" s="2" t="str">
        <f>IF(Table1[[#This Row],[Sales Performance]]="High Performer","Eligible for Promotion",IF(Table1[[#This Row],[Sales Performance]]="Low Performer","Review Cause Effect","Room For Growth"))</f>
        <v>Eligible for Promotion</v>
      </c>
    </row>
    <row r="214" spans="1:13" x14ac:dyDescent="0.35">
      <c r="A214">
        <v>330</v>
      </c>
      <c r="B214" t="s">
        <v>259</v>
      </c>
      <c r="C214" t="s">
        <v>27</v>
      </c>
      <c r="D214" t="s">
        <v>28</v>
      </c>
      <c r="E214" s="14" t="s">
        <v>1400</v>
      </c>
      <c r="F214" t="s">
        <v>1401</v>
      </c>
      <c r="G214" s="8">
        <v>45894</v>
      </c>
      <c r="H214" s="8">
        <v>73878</v>
      </c>
      <c r="I214" s="8">
        <v>63301</v>
      </c>
      <c r="J214" s="9">
        <v>22019</v>
      </c>
      <c r="K214" s="8">
        <f>SUM(Table1[[#This Row],[Sales (Q1)]:[Sales (Q4)]])</f>
        <v>205092</v>
      </c>
      <c r="L214" s="2" t="str">
        <f>IF(Table1[[#This Row],[Employee Total Sales]]&gt;=200000,"High Performer",IF(Table1[[#This Row],[Employee Total Sales]]&gt;=180000,"Mid Performer","Low Performer"))</f>
        <v>High Performer</v>
      </c>
      <c r="M214" s="2" t="str">
        <f>IF(Table1[[#This Row],[Sales Performance]]="High Performer","Eligible for Promotion",IF(Table1[[#This Row],[Sales Performance]]="Low Performer","Review Cause Effect","Room For Growth"))</f>
        <v>Eligible for Promotion</v>
      </c>
    </row>
    <row r="215" spans="1:13" x14ac:dyDescent="0.35">
      <c r="A215">
        <v>115</v>
      </c>
      <c r="B215" t="s">
        <v>60</v>
      </c>
      <c r="C215" t="s">
        <v>55</v>
      </c>
      <c r="D215" t="s">
        <v>28</v>
      </c>
      <c r="E215" s="14" t="s">
        <v>1402</v>
      </c>
      <c r="F215" t="s">
        <v>1403</v>
      </c>
      <c r="G215" s="8">
        <v>33386</v>
      </c>
      <c r="H215" s="8">
        <v>63891</v>
      </c>
      <c r="I215" s="8">
        <v>66936</v>
      </c>
      <c r="J215" s="9">
        <v>40590</v>
      </c>
      <c r="K215" s="8">
        <f>SUM(Table1[[#This Row],[Sales (Q1)]:[Sales (Q4)]])</f>
        <v>204803</v>
      </c>
      <c r="L215" s="2" t="str">
        <f>IF(Table1[[#This Row],[Employee Total Sales]]&gt;=200000,"High Performer",IF(Table1[[#This Row],[Employee Total Sales]]&gt;=180000,"Mid Performer","Low Performer"))</f>
        <v>High Performer</v>
      </c>
      <c r="M215" s="2" t="str">
        <f>IF(Table1[[#This Row],[Sales Performance]]="High Performer","Eligible for Promotion",IF(Table1[[#This Row],[Sales Performance]]="Low Performer","Review Cause Effect","Room For Growth"))</f>
        <v>Eligible for Promotion</v>
      </c>
    </row>
    <row r="216" spans="1:13" x14ac:dyDescent="0.35">
      <c r="A216">
        <v>525</v>
      </c>
      <c r="B216" t="s">
        <v>229</v>
      </c>
      <c r="C216" t="s">
        <v>27</v>
      </c>
      <c r="D216" t="s">
        <v>20</v>
      </c>
      <c r="E216" s="14" t="s">
        <v>1021</v>
      </c>
      <c r="F216" t="s">
        <v>1404</v>
      </c>
      <c r="G216" s="8">
        <v>53532</v>
      </c>
      <c r="H216" s="8">
        <v>56161</v>
      </c>
      <c r="I216" s="8">
        <v>40463</v>
      </c>
      <c r="J216" s="9">
        <v>54166</v>
      </c>
      <c r="K216" s="8">
        <f>SUM(Table1[[#This Row],[Sales (Q1)]:[Sales (Q4)]])</f>
        <v>204322</v>
      </c>
      <c r="L216" s="2" t="str">
        <f>IF(Table1[[#This Row],[Employee Total Sales]]&gt;=200000,"High Performer",IF(Table1[[#This Row],[Employee Total Sales]]&gt;=180000,"Mid Performer","Low Performer"))</f>
        <v>High Performer</v>
      </c>
      <c r="M216" s="2" t="str">
        <f>IF(Table1[[#This Row],[Sales Performance]]="High Performer","Eligible for Promotion",IF(Table1[[#This Row],[Sales Performance]]="Low Performer","Review Cause Effect","Room For Growth"))</f>
        <v>Eligible for Promotion</v>
      </c>
    </row>
    <row r="217" spans="1:13" x14ac:dyDescent="0.35">
      <c r="A217">
        <v>423</v>
      </c>
      <c r="B217" t="s">
        <v>510</v>
      </c>
      <c r="C217" t="s">
        <v>16</v>
      </c>
      <c r="D217" t="s">
        <v>20</v>
      </c>
      <c r="E217" s="14" t="s">
        <v>1722</v>
      </c>
      <c r="F217" t="s">
        <v>816</v>
      </c>
      <c r="G217" s="8">
        <v>66670</v>
      </c>
      <c r="H217" s="8">
        <v>52881</v>
      </c>
      <c r="I217" s="8">
        <v>37645</v>
      </c>
      <c r="J217" s="9">
        <v>46924</v>
      </c>
      <c r="K217" s="8">
        <f>SUM(Table1[[#This Row],[Sales (Q1)]:[Sales (Q4)]])</f>
        <v>204120</v>
      </c>
      <c r="L217" s="2" t="str">
        <f>IF(Table1[[#This Row],[Employee Total Sales]]&gt;=200000,"High Performer",IF(Table1[[#This Row],[Employee Total Sales]]&gt;=180000,"Mid Performer","Low Performer"))</f>
        <v>High Performer</v>
      </c>
      <c r="M217" s="2" t="str">
        <f>IF(Table1[[#This Row],[Sales Performance]]="High Performer","Eligible for Promotion",IF(Table1[[#This Row],[Sales Performance]]="Low Performer","Review Cause Effect","Room For Growth"))</f>
        <v>Eligible for Promotion</v>
      </c>
    </row>
    <row r="218" spans="1:13" x14ac:dyDescent="0.35">
      <c r="A218">
        <v>123</v>
      </c>
      <c r="B218" t="s">
        <v>83</v>
      </c>
      <c r="C218" t="s">
        <v>16</v>
      </c>
      <c r="D218" t="s">
        <v>43</v>
      </c>
      <c r="E218" s="14" t="s">
        <v>84</v>
      </c>
      <c r="F218" t="s">
        <v>1405</v>
      </c>
      <c r="G218" s="8">
        <v>53234</v>
      </c>
      <c r="H218" s="8">
        <v>40269</v>
      </c>
      <c r="I218" s="8">
        <v>63705</v>
      </c>
      <c r="J218" s="9">
        <v>46764</v>
      </c>
      <c r="K218" s="8">
        <f>SUM(Table1[[#This Row],[Sales (Q1)]:[Sales (Q4)]])</f>
        <v>203972</v>
      </c>
      <c r="L218" s="2" t="str">
        <f>IF(Table1[[#This Row],[Employee Total Sales]]&gt;=200000,"High Performer",IF(Table1[[#This Row],[Employee Total Sales]]&gt;=180000,"Mid Performer","Low Performer"))</f>
        <v>High Performer</v>
      </c>
      <c r="M218" s="2" t="str">
        <f>IF(Table1[[#This Row],[Sales Performance]]="High Performer","Eligible for Promotion",IF(Table1[[#This Row],[Sales Performance]]="Low Performer","Review Cause Effect","Room For Growth"))</f>
        <v>Eligible for Promotion</v>
      </c>
    </row>
    <row r="219" spans="1:13" x14ac:dyDescent="0.35">
      <c r="A219">
        <v>549</v>
      </c>
      <c r="B219" t="s">
        <v>487</v>
      </c>
      <c r="C219" t="s">
        <v>32</v>
      </c>
      <c r="D219" t="s">
        <v>28</v>
      </c>
      <c r="E219" s="14" t="s">
        <v>740</v>
      </c>
      <c r="F219" t="s">
        <v>1406</v>
      </c>
      <c r="G219" s="8">
        <v>49758</v>
      </c>
      <c r="H219" s="8">
        <v>53896</v>
      </c>
      <c r="I219" s="8">
        <v>41508</v>
      </c>
      <c r="J219" s="9">
        <v>58522</v>
      </c>
      <c r="K219" s="8">
        <f>SUM(Table1[[#This Row],[Sales (Q1)]:[Sales (Q4)]])</f>
        <v>203684</v>
      </c>
      <c r="L219" s="2" t="str">
        <f>IF(Table1[[#This Row],[Employee Total Sales]]&gt;=200000,"High Performer",IF(Table1[[#This Row],[Employee Total Sales]]&gt;=180000,"Mid Performer","Low Performer"))</f>
        <v>High Performer</v>
      </c>
      <c r="M219" s="2" t="str">
        <f>IF(Table1[[#This Row],[Sales Performance]]="High Performer","Eligible for Promotion",IF(Table1[[#This Row],[Sales Performance]]="Low Performer","Review Cause Effect","Room For Growth"))</f>
        <v>Eligible for Promotion</v>
      </c>
    </row>
    <row r="220" spans="1:13" x14ac:dyDescent="0.35">
      <c r="A220">
        <v>318</v>
      </c>
      <c r="B220" t="s">
        <v>584</v>
      </c>
      <c r="C220" t="s">
        <v>32</v>
      </c>
      <c r="D220" t="s">
        <v>43</v>
      </c>
      <c r="E220" s="14" t="s">
        <v>585</v>
      </c>
      <c r="F220" t="s">
        <v>1407</v>
      </c>
      <c r="G220" s="8">
        <v>63152</v>
      </c>
      <c r="H220" s="8">
        <v>58621</v>
      </c>
      <c r="I220" s="8">
        <v>53043</v>
      </c>
      <c r="J220" s="9">
        <v>28823</v>
      </c>
      <c r="K220" s="8">
        <f>SUM(Table1[[#This Row],[Sales (Q1)]:[Sales (Q4)]])</f>
        <v>203639</v>
      </c>
      <c r="L220" s="2" t="str">
        <f>IF(Table1[[#This Row],[Employee Total Sales]]&gt;=200000,"High Performer",IF(Table1[[#This Row],[Employee Total Sales]]&gt;=180000,"Mid Performer","Low Performer"))</f>
        <v>High Performer</v>
      </c>
      <c r="M220" s="2" t="str">
        <f>IF(Table1[[#This Row],[Sales Performance]]="High Performer","Eligible for Promotion",IF(Table1[[#This Row],[Sales Performance]]="Low Performer","Review Cause Effect","Room For Growth"))</f>
        <v>Eligible for Promotion</v>
      </c>
    </row>
    <row r="221" spans="1:13" x14ac:dyDescent="0.35">
      <c r="A221">
        <v>291</v>
      </c>
      <c r="B221" t="s">
        <v>137</v>
      </c>
      <c r="C221" t="s">
        <v>32</v>
      </c>
      <c r="D221" t="s">
        <v>20</v>
      </c>
      <c r="E221" s="14" t="s">
        <v>1705</v>
      </c>
      <c r="F221" t="s">
        <v>527</v>
      </c>
      <c r="G221" s="8">
        <v>29712</v>
      </c>
      <c r="H221" s="8">
        <v>57132</v>
      </c>
      <c r="I221" s="8">
        <v>58530</v>
      </c>
      <c r="J221" s="9">
        <v>58186</v>
      </c>
      <c r="K221" s="8">
        <f>SUM(Table1[[#This Row],[Sales (Q1)]:[Sales (Q4)]])</f>
        <v>203560</v>
      </c>
      <c r="L221" s="2" t="str">
        <f>IF(Table1[[#This Row],[Employee Total Sales]]&gt;=200000,"High Performer",IF(Table1[[#This Row],[Employee Total Sales]]&gt;=180000,"Mid Performer","Low Performer"))</f>
        <v>High Performer</v>
      </c>
      <c r="M221" s="2" t="str">
        <f>IF(Table1[[#This Row],[Sales Performance]]="High Performer","Eligible for Promotion",IF(Table1[[#This Row],[Sales Performance]]="Low Performer","Review Cause Effect","Room For Growth"))</f>
        <v>Eligible for Promotion</v>
      </c>
    </row>
    <row r="222" spans="1:13" x14ac:dyDescent="0.35">
      <c r="A222">
        <v>217</v>
      </c>
      <c r="B222" t="s">
        <v>229</v>
      </c>
      <c r="C222" t="s">
        <v>55</v>
      </c>
      <c r="D222" t="s">
        <v>28</v>
      </c>
      <c r="E222" s="14" t="s">
        <v>230</v>
      </c>
      <c r="F222" t="s">
        <v>348</v>
      </c>
      <c r="G222" s="8">
        <v>66983</v>
      </c>
      <c r="H222" s="8">
        <v>58217</v>
      </c>
      <c r="I222" s="8">
        <v>52035</v>
      </c>
      <c r="J222" s="9">
        <v>25959</v>
      </c>
      <c r="K222" s="8">
        <f>SUM(Table1[[#This Row],[Sales (Q1)]:[Sales (Q4)]])</f>
        <v>203194</v>
      </c>
      <c r="L222" s="2" t="str">
        <f>IF(Table1[[#This Row],[Employee Total Sales]]&gt;=200000,"High Performer",IF(Table1[[#This Row],[Employee Total Sales]]&gt;=180000,"Mid Performer","Low Performer"))</f>
        <v>High Performer</v>
      </c>
      <c r="M222" s="2" t="str">
        <f>IF(Table1[[#This Row],[Sales Performance]]="High Performer","Eligible for Promotion",IF(Table1[[#This Row],[Sales Performance]]="Low Performer","Review Cause Effect","Room For Growth"))</f>
        <v>Eligible for Promotion</v>
      </c>
    </row>
    <row r="223" spans="1:13" x14ac:dyDescent="0.35">
      <c r="A223">
        <v>257</v>
      </c>
      <c r="B223" t="s">
        <v>294</v>
      </c>
      <c r="C223" t="s">
        <v>39</v>
      </c>
      <c r="D223" t="s">
        <v>12</v>
      </c>
      <c r="E223" s="14" t="s">
        <v>441</v>
      </c>
      <c r="F223" t="s">
        <v>442</v>
      </c>
      <c r="G223" s="8">
        <v>48130</v>
      </c>
      <c r="H223" s="8">
        <v>62957</v>
      </c>
      <c r="I223" s="8">
        <v>25976</v>
      </c>
      <c r="J223" s="9">
        <v>66117</v>
      </c>
      <c r="K223" s="8">
        <f>SUM(Table1[[#This Row],[Sales (Q1)]:[Sales (Q4)]])</f>
        <v>203180</v>
      </c>
      <c r="L223" s="2" t="str">
        <f>IF(Table1[[#This Row],[Employee Total Sales]]&gt;=200000,"High Performer",IF(Table1[[#This Row],[Employee Total Sales]]&gt;=180000,"Mid Performer","Low Performer"))</f>
        <v>High Performer</v>
      </c>
      <c r="M223" s="2" t="str">
        <f>IF(Table1[[#This Row],[Sales Performance]]="High Performer","Eligible for Promotion",IF(Table1[[#This Row],[Sales Performance]]="Low Performer","Review Cause Effect","Room For Growth"))</f>
        <v>Eligible for Promotion</v>
      </c>
    </row>
    <row r="224" spans="1:13" x14ac:dyDescent="0.35">
      <c r="A224">
        <v>392</v>
      </c>
      <c r="B224" t="s">
        <v>550</v>
      </c>
      <c r="C224" t="s">
        <v>11</v>
      </c>
      <c r="D224" t="s">
        <v>43</v>
      </c>
      <c r="E224" s="14" t="s">
        <v>1723</v>
      </c>
      <c r="F224" t="s">
        <v>1408</v>
      </c>
      <c r="G224" s="8">
        <v>24444</v>
      </c>
      <c r="H224" s="8">
        <v>56525</v>
      </c>
      <c r="I224" s="8">
        <v>54928</v>
      </c>
      <c r="J224" s="9">
        <v>67149</v>
      </c>
      <c r="K224" s="8">
        <f>SUM(Table1[[#This Row],[Sales (Q1)]:[Sales (Q4)]])</f>
        <v>203046</v>
      </c>
      <c r="L224" s="2" t="str">
        <f>IF(Table1[[#This Row],[Employee Total Sales]]&gt;=200000,"High Performer",IF(Table1[[#This Row],[Employee Total Sales]]&gt;=180000,"Mid Performer","Low Performer"))</f>
        <v>High Performer</v>
      </c>
      <c r="M224" s="2" t="str">
        <f>IF(Table1[[#This Row],[Sales Performance]]="High Performer","Eligible for Promotion",IF(Table1[[#This Row],[Sales Performance]]="Low Performer","Review Cause Effect","Room For Growth"))</f>
        <v>Eligible for Promotion</v>
      </c>
    </row>
    <row r="225" spans="1:13" x14ac:dyDescent="0.35">
      <c r="A225">
        <v>193</v>
      </c>
      <c r="B225" t="s">
        <v>137</v>
      </c>
      <c r="C225" t="s">
        <v>111</v>
      </c>
      <c r="D225" t="s">
        <v>43</v>
      </c>
      <c r="E225" s="14" t="s">
        <v>280</v>
      </c>
      <c r="F225" t="s">
        <v>281</v>
      </c>
      <c r="G225" s="8">
        <v>64503</v>
      </c>
      <c r="H225" s="8">
        <v>49486</v>
      </c>
      <c r="I225" s="8">
        <v>44311</v>
      </c>
      <c r="J225" s="9">
        <v>44380</v>
      </c>
      <c r="K225" s="8">
        <f>SUM(Table1[[#This Row],[Sales (Q1)]:[Sales (Q4)]])</f>
        <v>202680</v>
      </c>
      <c r="L225" s="2" t="str">
        <f>IF(Table1[[#This Row],[Employee Total Sales]]&gt;=200000,"High Performer",IF(Table1[[#This Row],[Employee Total Sales]]&gt;=180000,"Mid Performer","Low Performer"))</f>
        <v>High Performer</v>
      </c>
      <c r="M225" s="2" t="str">
        <f>IF(Table1[[#This Row],[Sales Performance]]="High Performer","Eligible for Promotion",IF(Table1[[#This Row],[Sales Performance]]="Low Performer","Review Cause Effect","Room For Growth"))</f>
        <v>Eligible for Promotion</v>
      </c>
    </row>
    <row r="226" spans="1:13" x14ac:dyDescent="0.35">
      <c r="A226">
        <v>111</v>
      </c>
      <c r="B226" t="s">
        <v>49</v>
      </c>
      <c r="C226" t="s">
        <v>11</v>
      </c>
      <c r="D226" t="s">
        <v>20</v>
      </c>
      <c r="E226" s="14" t="s">
        <v>50</v>
      </c>
      <c r="F226" t="s">
        <v>1409</v>
      </c>
      <c r="G226" s="8">
        <v>63187</v>
      </c>
      <c r="H226" s="8">
        <v>48249</v>
      </c>
      <c r="I226" s="8">
        <v>43219</v>
      </c>
      <c r="J226" s="9">
        <v>47759</v>
      </c>
      <c r="K226" s="8">
        <f>SUM(Table1[[#This Row],[Sales (Q1)]:[Sales (Q4)]])</f>
        <v>202414</v>
      </c>
      <c r="L226" s="2" t="str">
        <f>IF(Table1[[#This Row],[Employee Total Sales]]&gt;=200000,"High Performer",IF(Table1[[#This Row],[Employee Total Sales]]&gt;=180000,"Mid Performer","Low Performer"))</f>
        <v>High Performer</v>
      </c>
      <c r="M226" s="2" t="str">
        <f>IF(Table1[[#This Row],[Sales Performance]]="High Performer","Eligible for Promotion",IF(Table1[[#This Row],[Sales Performance]]="Low Performer","Review Cause Effect","Room For Growth"))</f>
        <v>Eligible for Promotion</v>
      </c>
    </row>
    <row r="227" spans="1:13" x14ac:dyDescent="0.35">
      <c r="A227">
        <v>570</v>
      </c>
      <c r="B227" t="s">
        <v>1104</v>
      </c>
      <c r="C227" t="s">
        <v>111</v>
      </c>
      <c r="D227" t="s">
        <v>12</v>
      </c>
      <c r="E227" s="14" t="s">
        <v>1410</v>
      </c>
      <c r="F227" t="s">
        <v>1411</v>
      </c>
      <c r="G227" s="8">
        <v>65786</v>
      </c>
      <c r="H227" s="8">
        <v>22861</v>
      </c>
      <c r="I227" s="8">
        <v>35708</v>
      </c>
      <c r="J227" s="9">
        <v>78034</v>
      </c>
      <c r="K227" s="8">
        <f>SUM(Table1[[#This Row],[Sales (Q1)]:[Sales (Q4)]])</f>
        <v>202389</v>
      </c>
      <c r="L227" s="2" t="str">
        <f>IF(Table1[[#This Row],[Employee Total Sales]]&gt;=200000,"High Performer",IF(Table1[[#This Row],[Employee Total Sales]]&gt;=180000,"Mid Performer","Low Performer"))</f>
        <v>High Performer</v>
      </c>
      <c r="M227" s="2" t="str">
        <f>IF(Table1[[#This Row],[Sales Performance]]="High Performer","Eligible for Promotion",IF(Table1[[#This Row],[Sales Performance]]="Low Performer","Review Cause Effect","Room For Growth"))</f>
        <v>Eligible for Promotion</v>
      </c>
    </row>
    <row r="228" spans="1:13" x14ac:dyDescent="0.35">
      <c r="A228">
        <v>538</v>
      </c>
      <c r="B228" t="s">
        <v>305</v>
      </c>
      <c r="C228" t="s">
        <v>16</v>
      </c>
      <c r="D228" t="s">
        <v>43</v>
      </c>
      <c r="E228" s="14" t="s">
        <v>1047</v>
      </c>
      <c r="F228" t="s">
        <v>1048</v>
      </c>
      <c r="G228" s="8">
        <v>44464</v>
      </c>
      <c r="H228" s="8">
        <v>55418</v>
      </c>
      <c r="I228" s="8">
        <v>31022</v>
      </c>
      <c r="J228" s="9">
        <v>71250</v>
      </c>
      <c r="K228" s="8">
        <f>SUM(Table1[[#This Row],[Sales (Q1)]:[Sales (Q4)]])</f>
        <v>202154</v>
      </c>
      <c r="L228" s="2" t="str">
        <f>IF(Table1[[#This Row],[Employee Total Sales]]&gt;=200000,"High Performer",IF(Table1[[#This Row],[Employee Total Sales]]&gt;=180000,"Mid Performer","Low Performer"))</f>
        <v>High Performer</v>
      </c>
      <c r="M228" s="2" t="str">
        <f>IF(Table1[[#This Row],[Sales Performance]]="High Performer","Eligible for Promotion",IF(Table1[[#This Row],[Sales Performance]]="Low Performer","Review Cause Effect","Room For Growth"))</f>
        <v>Eligible for Promotion</v>
      </c>
    </row>
    <row r="229" spans="1:13" x14ac:dyDescent="0.35">
      <c r="A229">
        <v>253</v>
      </c>
      <c r="B229" t="s">
        <v>432</v>
      </c>
      <c r="C229" t="s">
        <v>32</v>
      </c>
      <c r="D229" t="s">
        <v>12</v>
      </c>
      <c r="E229" s="14" t="s">
        <v>1724</v>
      </c>
      <c r="F229" t="s">
        <v>1412</v>
      </c>
      <c r="G229" s="8">
        <v>23885</v>
      </c>
      <c r="H229" s="8">
        <v>38174</v>
      </c>
      <c r="I229" s="8">
        <v>76822</v>
      </c>
      <c r="J229" s="9">
        <v>62984</v>
      </c>
      <c r="K229" s="8">
        <f>SUM(Table1[[#This Row],[Sales (Q1)]:[Sales (Q4)]])</f>
        <v>201865</v>
      </c>
      <c r="L229" s="2" t="str">
        <f>IF(Table1[[#This Row],[Employee Total Sales]]&gt;=200000,"High Performer",IF(Table1[[#This Row],[Employee Total Sales]]&gt;=180000,"Mid Performer","Low Performer"))</f>
        <v>High Performer</v>
      </c>
      <c r="M229" s="2" t="str">
        <f>IF(Table1[[#This Row],[Sales Performance]]="High Performer","Eligible for Promotion",IF(Table1[[#This Row],[Sales Performance]]="Low Performer","Review Cause Effect","Room For Growth"))</f>
        <v>Eligible for Promotion</v>
      </c>
    </row>
    <row r="230" spans="1:13" x14ac:dyDescent="0.35">
      <c r="A230">
        <v>513</v>
      </c>
      <c r="B230" t="s">
        <v>443</v>
      </c>
      <c r="C230" t="s">
        <v>55</v>
      </c>
      <c r="D230" t="s">
        <v>28</v>
      </c>
      <c r="E230" s="14" t="s">
        <v>1413</v>
      </c>
      <c r="F230" t="s">
        <v>1414</v>
      </c>
      <c r="G230" s="8">
        <v>70444</v>
      </c>
      <c r="H230" s="8">
        <v>50371</v>
      </c>
      <c r="I230" s="8">
        <v>29710</v>
      </c>
      <c r="J230" s="9">
        <v>51063</v>
      </c>
      <c r="K230" s="8">
        <f>SUM(Table1[[#This Row],[Sales (Q1)]:[Sales (Q4)]])</f>
        <v>201588</v>
      </c>
      <c r="L230" s="2" t="str">
        <f>IF(Table1[[#This Row],[Employee Total Sales]]&gt;=200000,"High Performer",IF(Table1[[#This Row],[Employee Total Sales]]&gt;=180000,"Mid Performer","Low Performer"))</f>
        <v>High Performer</v>
      </c>
      <c r="M230" s="2" t="str">
        <f>IF(Table1[[#This Row],[Sales Performance]]="High Performer","Eligible for Promotion",IF(Table1[[#This Row],[Sales Performance]]="Low Performer","Review Cause Effect","Room For Growth"))</f>
        <v>Eligible for Promotion</v>
      </c>
    </row>
    <row r="231" spans="1:13" x14ac:dyDescent="0.35">
      <c r="A231">
        <v>134</v>
      </c>
      <c r="B231" t="s">
        <v>117</v>
      </c>
      <c r="C231" t="s">
        <v>55</v>
      </c>
      <c r="D231" t="s">
        <v>43</v>
      </c>
      <c r="E231" s="14" t="s">
        <v>118</v>
      </c>
      <c r="F231" t="s">
        <v>1415</v>
      </c>
      <c r="G231" s="8">
        <v>62437</v>
      </c>
      <c r="H231" s="8">
        <v>42362</v>
      </c>
      <c r="I231" s="8">
        <v>20829</v>
      </c>
      <c r="J231" s="9">
        <v>75677</v>
      </c>
      <c r="K231" s="8">
        <f>SUM(Table1[[#This Row],[Sales (Q1)]:[Sales (Q4)]])</f>
        <v>201305</v>
      </c>
      <c r="L231" s="2" t="str">
        <f>IF(Table1[[#This Row],[Employee Total Sales]]&gt;=200000,"High Performer",IF(Table1[[#This Row],[Employee Total Sales]]&gt;=180000,"Mid Performer","Low Performer"))</f>
        <v>High Performer</v>
      </c>
      <c r="M231" s="2" t="str">
        <f>IF(Table1[[#This Row],[Sales Performance]]="High Performer","Eligible for Promotion",IF(Table1[[#This Row],[Sales Performance]]="Low Performer","Review Cause Effect","Room For Growth"))</f>
        <v>Eligible for Promotion</v>
      </c>
    </row>
    <row r="232" spans="1:13" x14ac:dyDescent="0.35">
      <c r="A232">
        <v>306</v>
      </c>
      <c r="B232" t="s">
        <v>557</v>
      </c>
      <c r="C232" t="s">
        <v>11</v>
      </c>
      <c r="D232" t="s">
        <v>43</v>
      </c>
      <c r="E232" s="14" t="s">
        <v>558</v>
      </c>
      <c r="F232" t="s">
        <v>559</v>
      </c>
      <c r="G232" s="8">
        <v>68108</v>
      </c>
      <c r="H232" s="8">
        <v>21436</v>
      </c>
      <c r="I232" s="8">
        <v>58646</v>
      </c>
      <c r="J232" s="9">
        <v>53071</v>
      </c>
      <c r="K232" s="8">
        <f>SUM(Table1[[#This Row],[Sales (Q1)]:[Sales (Q4)]])</f>
        <v>201261</v>
      </c>
      <c r="L232" s="2" t="str">
        <f>IF(Table1[[#This Row],[Employee Total Sales]]&gt;=200000,"High Performer",IF(Table1[[#This Row],[Employee Total Sales]]&gt;=180000,"Mid Performer","Low Performer"))</f>
        <v>High Performer</v>
      </c>
      <c r="M232" s="2" t="str">
        <f>IF(Table1[[#This Row],[Sales Performance]]="High Performer","Eligible for Promotion",IF(Table1[[#This Row],[Sales Performance]]="Low Performer","Review Cause Effect","Room For Growth"))</f>
        <v>Eligible for Promotion</v>
      </c>
    </row>
    <row r="233" spans="1:13" x14ac:dyDescent="0.35">
      <c r="A233">
        <v>226</v>
      </c>
      <c r="B233" t="s">
        <v>324</v>
      </c>
      <c r="C233" t="s">
        <v>39</v>
      </c>
      <c r="D233" t="s">
        <v>12</v>
      </c>
      <c r="E233" s="14" t="s">
        <v>325</v>
      </c>
      <c r="F233" t="s">
        <v>1416</v>
      </c>
      <c r="G233" s="8">
        <v>54973</v>
      </c>
      <c r="H233" s="8">
        <v>62514</v>
      </c>
      <c r="I233" s="8">
        <v>43544</v>
      </c>
      <c r="J233" s="9">
        <v>40212</v>
      </c>
      <c r="K233" s="8">
        <f>SUM(Table1[[#This Row],[Sales (Q1)]:[Sales (Q4)]])</f>
        <v>201243</v>
      </c>
      <c r="L233" s="2" t="str">
        <f>IF(Table1[[#This Row],[Employee Total Sales]]&gt;=200000,"High Performer",IF(Table1[[#This Row],[Employee Total Sales]]&gt;=180000,"Mid Performer","Low Performer"))</f>
        <v>High Performer</v>
      </c>
      <c r="M233" s="2" t="str">
        <f>IF(Table1[[#This Row],[Sales Performance]]="High Performer","Eligible for Promotion",IF(Table1[[#This Row],[Sales Performance]]="Low Performer","Review Cause Effect","Room For Growth"))</f>
        <v>Eligible for Promotion</v>
      </c>
    </row>
    <row r="234" spans="1:13" x14ac:dyDescent="0.35">
      <c r="A234">
        <v>129</v>
      </c>
      <c r="B234" t="s">
        <v>101</v>
      </c>
      <c r="C234" t="s">
        <v>39</v>
      </c>
      <c r="D234" t="s">
        <v>43</v>
      </c>
      <c r="E234" s="14" t="s">
        <v>102</v>
      </c>
      <c r="F234" t="s">
        <v>1417</v>
      </c>
      <c r="G234" s="8">
        <v>33555</v>
      </c>
      <c r="H234" s="8">
        <v>74584</v>
      </c>
      <c r="I234" s="8">
        <v>47534</v>
      </c>
      <c r="J234" s="9">
        <v>45524</v>
      </c>
      <c r="K234" s="8">
        <f>SUM(Table1[[#This Row],[Sales (Q1)]:[Sales (Q4)]])</f>
        <v>201197</v>
      </c>
      <c r="L234" s="2" t="str">
        <f>IF(Table1[[#This Row],[Employee Total Sales]]&gt;=200000,"High Performer",IF(Table1[[#This Row],[Employee Total Sales]]&gt;=180000,"Mid Performer","Low Performer"))</f>
        <v>High Performer</v>
      </c>
      <c r="M234" s="2" t="str">
        <f>IF(Table1[[#This Row],[Sales Performance]]="High Performer","Eligible for Promotion",IF(Table1[[#This Row],[Sales Performance]]="Low Performer","Review Cause Effect","Room For Growth"))</f>
        <v>Eligible for Promotion</v>
      </c>
    </row>
    <row r="235" spans="1:13" x14ac:dyDescent="0.35">
      <c r="A235">
        <v>369</v>
      </c>
      <c r="B235" t="s">
        <v>52</v>
      </c>
      <c r="C235" t="s">
        <v>111</v>
      </c>
      <c r="D235" t="s">
        <v>28</v>
      </c>
      <c r="E235" s="14" t="s">
        <v>702</v>
      </c>
      <c r="F235" t="s">
        <v>703</v>
      </c>
      <c r="G235" s="8">
        <v>45218</v>
      </c>
      <c r="H235" s="8">
        <v>70543</v>
      </c>
      <c r="I235" s="8">
        <v>49029</v>
      </c>
      <c r="J235" s="9">
        <v>36198</v>
      </c>
      <c r="K235" s="8">
        <f>SUM(Table1[[#This Row],[Sales (Q1)]:[Sales (Q4)]])</f>
        <v>200988</v>
      </c>
      <c r="L235" s="2" t="str">
        <f>IF(Table1[[#This Row],[Employee Total Sales]]&gt;=200000,"High Performer",IF(Table1[[#This Row],[Employee Total Sales]]&gt;=180000,"Mid Performer","Low Performer"))</f>
        <v>High Performer</v>
      </c>
      <c r="M235" s="2" t="str">
        <f>IF(Table1[[#This Row],[Sales Performance]]="High Performer","Eligible for Promotion",IF(Table1[[#This Row],[Sales Performance]]="Low Performer","Review Cause Effect","Room For Growth"))</f>
        <v>Eligible for Promotion</v>
      </c>
    </row>
    <row r="236" spans="1:13" x14ac:dyDescent="0.35">
      <c r="A236">
        <v>572</v>
      </c>
      <c r="B236" t="s">
        <v>155</v>
      </c>
      <c r="C236" t="s">
        <v>55</v>
      </c>
      <c r="D236" t="s">
        <v>28</v>
      </c>
      <c r="E236" s="14" t="s">
        <v>1418</v>
      </c>
      <c r="F236" t="s">
        <v>1419</v>
      </c>
      <c r="G236" s="8">
        <v>66471</v>
      </c>
      <c r="H236" s="8">
        <v>28944</v>
      </c>
      <c r="I236" s="8">
        <v>41437</v>
      </c>
      <c r="J236" s="9">
        <v>63928</v>
      </c>
      <c r="K236" s="8">
        <f>SUM(Table1[[#This Row],[Sales (Q1)]:[Sales (Q4)]])</f>
        <v>200780</v>
      </c>
      <c r="L236" s="2" t="str">
        <f>IF(Table1[[#This Row],[Employee Total Sales]]&gt;=200000,"High Performer",IF(Table1[[#This Row],[Employee Total Sales]]&gt;=180000,"Mid Performer","Low Performer"))</f>
        <v>High Performer</v>
      </c>
      <c r="M236" s="2" t="str">
        <f>IF(Table1[[#This Row],[Sales Performance]]="High Performer","Eligible for Promotion",IF(Table1[[#This Row],[Sales Performance]]="Low Performer","Review Cause Effect","Room For Growth"))</f>
        <v>Eligible for Promotion</v>
      </c>
    </row>
    <row r="237" spans="1:13" x14ac:dyDescent="0.35">
      <c r="A237">
        <v>223</v>
      </c>
      <c r="B237" t="s">
        <v>140</v>
      </c>
      <c r="C237" t="s">
        <v>111</v>
      </c>
      <c r="D237" t="s">
        <v>28</v>
      </c>
      <c r="E237" s="14" t="s">
        <v>1713</v>
      </c>
      <c r="F237" t="s">
        <v>1420</v>
      </c>
      <c r="G237" s="8">
        <v>40888</v>
      </c>
      <c r="H237" s="8">
        <v>65633</v>
      </c>
      <c r="I237" s="8">
        <v>47284</v>
      </c>
      <c r="J237" s="9">
        <v>46755</v>
      </c>
      <c r="K237" s="8">
        <f>SUM(Table1[[#This Row],[Sales (Q1)]:[Sales (Q4)]])</f>
        <v>200560</v>
      </c>
      <c r="L237" s="2" t="str">
        <f>IF(Table1[[#This Row],[Employee Total Sales]]&gt;=200000,"High Performer",IF(Table1[[#This Row],[Employee Total Sales]]&gt;=180000,"Mid Performer","Low Performer"))</f>
        <v>High Performer</v>
      </c>
      <c r="M237" s="2" t="str">
        <f>IF(Table1[[#This Row],[Sales Performance]]="High Performer","Eligible for Promotion",IF(Table1[[#This Row],[Sales Performance]]="Low Performer","Review Cause Effect","Room For Growth"))</f>
        <v>Eligible for Promotion</v>
      </c>
    </row>
    <row r="238" spans="1:13" x14ac:dyDescent="0.35">
      <c r="A238">
        <v>273</v>
      </c>
      <c r="B238" t="s">
        <v>143</v>
      </c>
      <c r="C238" t="s">
        <v>39</v>
      </c>
      <c r="D238" t="s">
        <v>12</v>
      </c>
      <c r="E238" s="14" t="s">
        <v>484</v>
      </c>
      <c r="F238" t="s">
        <v>1421</v>
      </c>
      <c r="G238" s="8">
        <v>26678</v>
      </c>
      <c r="H238" s="8">
        <v>72684</v>
      </c>
      <c r="I238" s="8">
        <v>72023</v>
      </c>
      <c r="J238" s="9">
        <v>29161</v>
      </c>
      <c r="K238" s="8">
        <f>SUM(Table1[[#This Row],[Sales (Q1)]:[Sales (Q4)]])</f>
        <v>200546</v>
      </c>
      <c r="L238" s="2" t="str">
        <f>IF(Table1[[#This Row],[Employee Total Sales]]&gt;=200000,"High Performer",IF(Table1[[#This Row],[Employee Total Sales]]&gt;=180000,"Mid Performer","Low Performer"))</f>
        <v>High Performer</v>
      </c>
      <c r="M238" s="2" t="str">
        <f>IF(Table1[[#This Row],[Sales Performance]]="High Performer","Eligible for Promotion",IF(Table1[[#This Row],[Sales Performance]]="Low Performer","Review Cause Effect","Room For Growth"))</f>
        <v>Eligible for Promotion</v>
      </c>
    </row>
    <row r="239" spans="1:13" x14ac:dyDescent="0.35">
      <c r="A239">
        <v>320</v>
      </c>
      <c r="B239" t="s">
        <v>386</v>
      </c>
      <c r="C239" t="s">
        <v>111</v>
      </c>
      <c r="D239" t="s">
        <v>20</v>
      </c>
      <c r="E239" s="14" t="s">
        <v>589</v>
      </c>
      <c r="F239" t="s">
        <v>590</v>
      </c>
      <c r="G239" s="8">
        <v>33743</v>
      </c>
      <c r="H239" s="8">
        <v>60905</v>
      </c>
      <c r="I239" s="8">
        <v>66817</v>
      </c>
      <c r="J239" s="9">
        <v>39043</v>
      </c>
      <c r="K239" s="8">
        <f>SUM(Table1[[#This Row],[Sales (Q1)]:[Sales (Q4)]])</f>
        <v>200508</v>
      </c>
      <c r="L239" s="2" t="str">
        <f>IF(Table1[[#This Row],[Employee Total Sales]]&gt;=200000,"High Performer",IF(Table1[[#This Row],[Employee Total Sales]]&gt;=180000,"Mid Performer","Low Performer"))</f>
        <v>High Performer</v>
      </c>
      <c r="M239" s="2" t="str">
        <f>IF(Table1[[#This Row],[Sales Performance]]="High Performer","Eligible for Promotion",IF(Table1[[#This Row],[Sales Performance]]="Low Performer","Review Cause Effect","Room For Growth"))</f>
        <v>Eligible for Promotion</v>
      </c>
    </row>
    <row r="240" spans="1:13" x14ac:dyDescent="0.35">
      <c r="A240">
        <v>519</v>
      </c>
      <c r="B240" t="s">
        <v>373</v>
      </c>
      <c r="C240" t="s">
        <v>27</v>
      </c>
      <c r="D240" t="s">
        <v>28</v>
      </c>
      <c r="E240" s="14" t="s">
        <v>407</v>
      </c>
      <c r="F240" t="s">
        <v>1548</v>
      </c>
      <c r="G240" s="8">
        <v>70421</v>
      </c>
      <c r="H240" s="8">
        <v>23058</v>
      </c>
      <c r="I240" s="8">
        <v>70468</v>
      </c>
      <c r="J240" s="9">
        <v>77521</v>
      </c>
      <c r="K240" s="8">
        <f>SUM(Table1[[#This Row],[Sales (Q1)]:[Sales (Q4)]])</f>
        <v>241468</v>
      </c>
      <c r="L240" s="2" t="str">
        <f>IF(Table1[[#This Row],[Employee Total Sales]]&gt;=200000,"High Performer",IF(Table1[[#This Row],[Employee Total Sales]]&gt;=180000,"Mid Performer","Low Performer"))</f>
        <v>High Performer</v>
      </c>
      <c r="M240" s="2" t="str">
        <f>IF(Table1[[#This Row],[Sales Performance]]="High Performer","Eligible for Promotion",IF(Table1[[#This Row],[Sales Performance]]="Low Performer","Review Cause Effect","Room For Growth"))</f>
        <v>Eligible for Promotion</v>
      </c>
    </row>
    <row r="241" spans="1:13" x14ac:dyDescent="0.35">
      <c r="A241">
        <v>229</v>
      </c>
      <c r="B241" t="s">
        <v>373</v>
      </c>
      <c r="C241" t="s">
        <v>32</v>
      </c>
      <c r="D241" t="s">
        <v>28</v>
      </c>
      <c r="E241" s="14" t="s">
        <v>374</v>
      </c>
      <c r="F241" t="s">
        <v>1235</v>
      </c>
      <c r="G241" s="8">
        <v>49885</v>
      </c>
      <c r="H241" s="8">
        <v>44458</v>
      </c>
      <c r="I241" s="8">
        <v>23961</v>
      </c>
      <c r="J241" s="9">
        <v>60490</v>
      </c>
      <c r="K241" s="8">
        <f>SUM(Table1[[#This Row],[Sales (Q1)]:[Sales (Q4)]])</f>
        <v>178794</v>
      </c>
      <c r="L241" s="2" t="str">
        <f>IF(Table1[[#This Row],[Employee Total Sales]]&gt;=200000,"High Performer",IF(Table1[[#This Row],[Employee Total Sales]]&gt;=180000,"Mid Performer","Low Performer"))</f>
        <v>Low Performer</v>
      </c>
      <c r="M241" s="2" t="str">
        <f>IF(Table1[[#This Row],[Sales Performance]]="High Performer","Eligible for Promotion",IF(Table1[[#This Row],[Sales Performance]]="Low Performer","Review Cause Effect","Room For Growth"))</f>
        <v>Review Cause Effect</v>
      </c>
    </row>
    <row r="242" spans="1:13" x14ac:dyDescent="0.35">
      <c r="A242">
        <v>148</v>
      </c>
      <c r="B242" t="s">
        <v>52</v>
      </c>
      <c r="C242" t="s">
        <v>39</v>
      </c>
      <c r="D242" t="s">
        <v>12</v>
      </c>
      <c r="E242" s="14" t="s">
        <v>702</v>
      </c>
      <c r="F242" t="s">
        <v>1542</v>
      </c>
      <c r="G242" s="8">
        <v>56099</v>
      </c>
      <c r="H242" s="8">
        <v>20896</v>
      </c>
      <c r="I242" s="8">
        <v>56192</v>
      </c>
      <c r="J242" s="9">
        <v>46738</v>
      </c>
      <c r="K242" s="8">
        <f>SUM(Table1[[#This Row],[Sales (Q1)]:[Sales (Q4)]])</f>
        <v>179925</v>
      </c>
      <c r="L242" s="2" t="str">
        <f>IF(Table1[[#This Row],[Employee Total Sales]]&gt;=200000,"High Performer",IF(Table1[[#This Row],[Employee Total Sales]]&gt;=180000,"Mid Performer","Low Performer"))</f>
        <v>Low Performer</v>
      </c>
      <c r="M242" s="2" t="str">
        <f>IF(Table1[[#This Row],[Sales Performance]]="High Performer","Eligible for Promotion",IF(Table1[[#This Row],[Sales Performance]]="Low Performer","Review Cause Effect","Room For Growth"))</f>
        <v>Review Cause Effect</v>
      </c>
    </row>
    <row r="243" spans="1:13" x14ac:dyDescent="0.35">
      <c r="A243">
        <v>445</v>
      </c>
      <c r="B243" t="s">
        <v>860</v>
      </c>
      <c r="C243" t="s">
        <v>11</v>
      </c>
      <c r="D243" t="s">
        <v>28</v>
      </c>
      <c r="E243" s="14" t="s">
        <v>1725</v>
      </c>
      <c r="F243" t="s">
        <v>1543</v>
      </c>
      <c r="G243" s="8">
        <v>57995</v>
      </c>
      <c r="H243" s="8">
        <v>41362</v>
      </c>
      <c r="I243" s="8">
        <v>47463</v>
      </c>
      <c r="J243" s="9">
        <v>33025</v>
      </c>
      <c r="K243" s="8">
        <f>SUM(Table1[[#This Row],[Sales (Q1)]:[Sales (Q4)]])</f>
        <v>179845</v>
      </c>
      <c r="L243" s="2" t="str">
        <f>IF(Table1[[#This Row],[Employee Total Sales]]&gt;=200000,"High Performer",IF(Table1[[#This Row],[Employee Total Sales]]&gt;=180000,"Mid Performer","Low Performer"))</f>
        <v>Low Performer</v>
      </c>
      <c r="M243" s="2" t="str">
        <f>IF(Table1[[#This Row],[Sales Performance]]="High Performer","Eligible for Promotion",IF(Table1[[#This Row],[Sales Performance]]="Low Performer","Review Cause Effect","Room For Growth"))</f>
        <v>Review Cause Effect</v>
      </c>
    </row>
    <row r="244" spans="1:13" x14ac:dyDescent="0.35">
      <c r="A244">
        <v>312</v>
      </c>
      <c r="B244" t="s">
        <v>398</v>
      </c>
      <c r="C244" t="s">
        <v>55</v>
      </c>
      <c r="D244" t="s">
        <v>20</v>
      </c>
      <c r="E244" s="14" t="s">
        <v>1544</v>
      </c>
      <c r="F244" t="s">
        <v>1545</v>
      </c>
      <c r="G244" s="8">
        <v>75335</v>
      </c>
      <c r="H244" s="8">
        <v>30446</v>
      </c>
      <c r="I244" s="8">
        <v>26796</v>
      </c>
      <c r="J244" s="9">
        <v>47264</v>
      </c>
      <c r="K244" s="8">
        <f>SUM(Table1[[#This Row],[Sales (Q1)]:[Sales (Q4)]])</f>
        <v>179841</v>
      </c>
      <c r="L244" s="2" t="str">
        <f>IF(Table1[[#This Row],[Employee Total Sales]]&gt;=200000,"High Performer",IF(Table1[[#This Row],[Employee Total Sales]]&gt;=180000,"Mid Performer","Low Performer"))</f>
        <v>Low Performer</v>
      </c>
      <c r="M244" s="2" t="str">
        <f>IF(Table1[[#This Row],[Sales Performance]]="High Performer","Eligible for Promotion",IF(Table1[[#This Row],[Sales Performance]]="Low Performer","Review Cause Effect","Room For Growth"))</f>
        <v>Review Cause Effect</v>
      </c>
    </row>
    <row r="245" spans="1:13" x14ac:dyDescent="0.35">
      <c r="A245">
        <v>240</v>
      </c>
      <c r="B245" t="s">
        <v>398</v>
      </c>
      <c r="C245" t="s">
        <v>16</v>
      </c>
      <c r="D245" t="s">
        <v>12</v>
      </c>
      <c r="E245" s="14" t="s">
        <v>399</v>
      </c>
      <c r="F245" t="s">
        <v>1546</v>
      </c>
      <c r="G245" s="8">
        <v>33094</v>
      </c>
      <c r="H245" s="8">
        <v>58812</v>
      </c>
      <c r="I245" s="8">
        <v>55758</v>
      </c>
      <c r="J245" s="9">
        <v>31791</v>
      </c>
      <c r="K245" s="8">
        <f>SUM(Table1[[#This Row],[Sales (Q1)]:[Sales (Q4)]])</f>
        <v>179455</v>
      </c>
      <c r="L245" s="2" t="str">
        <f>IF(Table1[[#This Row],[Employee Total Sales]]&gt;=200000,"High Performer",IF(Table1[[#This Row],[Employee Total Sales]]&gt;=180000,"Mid Performer","Low Performer"))</f>
        <v>Low Performer</v>
      </c>
      <c r="M245" s="2" t="str">
        <f>IF(Table1[[#This Row],[Sales Performance]]="High Performer","Eligible for Promotion",IF(Table1[[#This Row],[Sales Performance]]="Low Performer","Review Cause Effect","Room For Growth"))</f>
        <v>Review Cause Effect</v>
      </c>
    </row>
    <row r="246" spans="1:13" x14ac:dyDescent="0.35">
      <c r="A246">
        <v>339</v>
      </c>
      <c r="B246" t="s">
        <v>63</v>
      </c>
      <c r="C246" t="s">
        <v>39</v>
      </c>
      <c r="D246" t="s">
        <v>20</v>
      </c>
      <c r="E246" s="14" t="s">
        <v>634</v>
      </c>
      <c r="F246" t="s">
        <v>635</v>
      </c>
      <c r="G246" s="8">
        <v>25052</v>
      </c>
      <c r="H246" s="8">
        <v>53720</v>
      </c>
      <c r="I246" s="8">
        <v>62170</v>
      </c>
      <c r="J246" s="9">
        <v>38403</v>
      </c>
      <c r="K246" s="8">
        <f>SUM(Table1[[#This Row],[Sales (Q1)]:[Sales (Q4)]])</f>
        <v>179345</v>
      </c>
      <c r="L246" s="2" t="str">
        <f>IF(Table1[[#This Row],[Employee Total Sales]]&gt;=200000,"High Performer",IF(Table1[[#This Row],[Employee Total Sales]]&gt;=180000,"Mid Performer","Low Performer"))</f>
        <v>Low Performer</v>
      </c>
      <c r="M246" s="2" t="str">
        <f>IF(Table1[[#This Row],[Sales Performance]]="High Performer","Eligible for Promotion",IF(Table1[[#This Row],[Sales Performance]]="Low Performer","Review Cause Effect","Room For Growth"))</f>
        <v>Review Cause Effect</v>
      </c>
    </row>
    <row r="247" spans="1:13" x14ac:dyDescent="0.35">
      <c r="A247">
        <v>270</v>
      </c>
      <c r="B247" t="s">
        <v>232</v>
      </c>
      <c r="C247" t="s">
        <v>32</v>
      </c>
      <c r="D247" t="s">
        <v>43</v>
      </c>
      <c r="E247" s="14" t="s">
        <v>1032</v>
      </c>
      <c r="F247" t="s">
        <v>1547</v>
      </c>
      <c r="G247" s="8">
        <v>69014</v>
      </c>
      <c r="H247" s="8">
        <v>25564</v>
      </c>
      <c r="I247" s="8">
        <v>58061</v>
      </c>
      <c r="J247" s="9">
        <v>26263</v>
      </c>
      <c r="K247" s="8">
        <f>SUM(Table1[[#This Row],[Sales (Q1)]:[Sales (Q4)]])</f>
        <v>178902</v>
      </c>
      <c r="L247" s="2" t="str">
        <f>IF(Table1[[#This Row],[Employee Total Sales]]&gt;=200000,"High Performer",IF(Table1[[#This Row],[Employee Total Sales]]&gt;=180000,"Mid Performer","Low Performer"))</f>
        <v>Low Performer</v>
      </c>
      <c r="M247" s="2" t="str">
        <f>IF(Table1[[#This Row],[Sales Performance]]="High Performer","Eligible for Promotion",IF(Table1[[#This Row],[Sales Performance]]="Low Performer","Review Cause Effect","Room For Growth"))</f>
        <v>Review Cause Effect</v>
      </c>
    </row>
    <row r="248" spans="1:13" x14ac:dyDescent="0.35">
      <c r="A248">
        <v>500</v>
      </c>
      <c r="B248" t="s">
        <v>467</v>
      </c>
      <c r="C248" t="s">
        <v>32</v>
      </c>
      <c r="D248" t="s">
        <v>28</v>
      </c>
      <c r="E248" s="14" t="s">
        <v>582</v>
      </c>
      <c r="F248" t="s">
        <v>1549</v>
      </c>
      <c r="G248" s="8">
        <v>31132</v>
      </c>
      <c r="H248" s="8">
        <v>53013</v>
      </c>
      <c r="I248" s="8">
        <v>52298</v>
      </c>
      <c r="J248" s="9">
        <v>42228</v>
      </c>
      <c r="K248" s="8">
        <f>SUM(Table1[[#This Row],[Sales (Q1)]:[Sales (Q4)]])</f>
        <v>178671</v>
      </c>
      <c r="L248" s="2" t="str">
        <f>IF(Table1[[#This Row],[Employee Total Sales]]&gt;=200000,"High Performer",IF(Table1[[#This Row],[Employee Total Sales]]&gt;=180000,"Mid Performer","Low Performer"))</f>
        <v>Low Performer</v>
      </c>
      <c r="M248" s="2" t="str">
        <f>IF(Table1[[#This Row],[Sales Performance]]="High Performer","Eligible for Promotion",IF(Table1[[#This Row],[Sales Performance]]="Low Performer","Review Cause Effect","Room For Growth"))</f>
        <v>Review Cause Effect</v>
      </c>
    </row>
    <row r="249" spans="1:13" x14ac:dyDescent="0.35">
      <c r="A249">
        <v>442</v>
      </c>
      <c r="B249" t="s">
        <v>57</v>
      </c>
      <c r="C249" t="s">
        <v>11</v>
      </c>
      <c r="D249" t="s">
        <v>20</v>
      </c>
      <c r="E249" s="14" t="s">
        <v>1550</v>
      </c>
      <c r="F249" t="s">
        <v>1551</v>
      </c>
      <c r="G249" s="8">
        <v>65329</v>
      </c>
      <c r="H249" s="8">
        <v>22465</v>
      </c>
      <c r="I249" s="8">
        <v>59077</v>
      </c>
      <c r="J249" s="9">
        <v>31796</v>
      </c>
      <c r="K249" s="8">
        <f>SUM(Table1[[#This Row],[Sales (Q1)]:[Sales (Q4)]])</f>
        <v>178667</v>
      </c>
      <c r="L249" s="2" t="str">
        <f>IF(Table1[[#This Row],[Employee Total Sales]]&gt;=200000,"High Performer",IF(Table1[[#This Row],[Employee Total Sales]]&gt;=180000,"Mid Performer","Low Performer"))</f>
        <v>Low Performer</v>
      </c>
      <c r="M249" s="2" t="str">
        <f>IF(Table1[[#This Row],[Sales Performance]]="High Performer","Eligible for Promotion",IF(Table1[[#This Row],[Sales Performance]]="Low Performer","Review Cause Effect","Room For Growth"))</f>
        <v>Review Cause Effect</v>
      </c>
    </row>
    <row r="250" spans="1:13" x14ac:dyDescent="0.35">
      <c r="A250">
        <v>128</v>
      </c>
      <c r="B250" t="s">
        <v>98</v>
      </c>
      <c r="C250" t="s">
        <v>39</v>
      </c>
      <c r="D250" t="s">
        <v>20</v>
      </c>
      <c r="E250" s="14" t="s">
        <v>1475</v>
      </c>
      <c r="F250" t="s">
        <v>1552</v>
      </c>
      <c r="G250" s="8">
        <v>66762</v>
      </c>
      <c r="H250" s="8">
        <v>38725</v>
      </c>
      <c r="I250" s="8">
        <v>35367</v>
      </c>
      <c r="J250" s="9">
        <v>37807</v>
      </c>
      <c r="K250" s="8">
        <f>SUM(Table1[[#This Row],[Sales (Q1)]:[Sales (Q4)]])</f>
        <v>178661</v>
      </c>
      <c r="L250" s="2" t="str">
        <f>IF(Table1[[#This Row],[Employee Total Sales]]&gt;=200000,"High Performer",IF(Table1[[#This Row],[Employee Total Sales]]&gt;=180000,"Mid Performer","Low Performer"))</f>
        <v>Low Performer</v>
      </c>
      <c r="M250" s="2" t="str">
        <f>IF(Table1[[#This Row],[Sales Performance]]="High Performer","Eligible for Promotion",IF(Table1[[#This Row],[Sales Performance]]="Low Performer","Review Cause Effect","Room For Growth"))</f>
        <v>Review Cause Effect</v>
      </c>
    </row>
    <row r="251" spans="1:13" x14ac:dyDescent="0.35">
      <c r="A251">
        <v>202</v>
      </c>
      <c r="B251" t="s">
        <v>305</v>
      </c>
      <c r="C251" t="s">
        <v>55</v>
      </c>
      <c r="D251" t="s">
        <v>20</v>
      </c>
      <c r="E251" s="14" t="s">
        <v>1726</v>
      </c>
      <c r="F251" t="s">
        <v>1553</v>
      </c>
      <c r="G251" s="8">
        <v>55172</v>
      </c>
      <c r="H251" s="8">
        <v>20535</v>
      </c>
      <c r="I251" s="8">
        <v>75520</v>
      </c>
      <c r="J251" s="9">
        <v>27044</v>
      </c>
      <c r="K251" s="8">
        <f>SUM(Table1[[#This Row],[Sales (Q1)]:[Sales (Q4)]])</f>
        <v>178271</v>
      </c>
      <c r="L251" s="2" t="str">
        <f>IF(Table1[[#This Row],[Employee Total Sales]]&gt;=200000,"High Performer",IF(Table1[[#This Row],[Employee Total Sales]]&gt;=180000,"Mid Performer","Low Performer"))</f>
        <v>Low Performer</v>
      </c>
      <c r="M251" s="2" t="str">
        <f>IF(Table1[[#This Row],[Sales Performance]]="High Performer","Eligible for Promotion",IF(Table1[[#This Row],[Sales Performance]]="Low Performer","Review Cause Effect","Room For Growth"))</f>
        <v>Review Cause Effect</v>
      </c>
    </row>
    <row r="252" spans="1:13" x14ac:dyDescent="0.35">
      <c r="A252">
        <v>370</v>
      </c>
      <c r="B252" t="s">
        <v>196</v>
      </c>
      <c r="C252" t="s">
        <v>11</v>
      </c>
      <c r="D252" t="s">
        <v>28</v>
      </c>
      <c r="E252" s="14" t="s">
        <v>1727</v>
      </c>
      <c r="F252" t="s">
        <v>1554</v>
      </c>
      <c r="G252" s="8">
        <v>61846</v>
      </c>
      <c r="H252" s="8">
        <v>39583</v>
      </c>
      <c r="I252" s="8">
        <v>33023</v>
      </c>
      <c r="J252" s="9">
        <v>43620</v>
      </c>
      <c r="K252" s="8">
        <f>SUM(Table1[[#This Row],[Sales (Q1)]:[Sales (Q4)]])</f>
        <v>178072</v>
      </c>
      <c r="L252" s="2" t="str">
        <f>IF(Table1[[#This Row],[Employee Total Sales]]&gt;=200000,"High Performer",IF(Table1[[#This Row],[Employee Total Sales]]&gt;=180000,"Mid Performer","Low Performer"))</f>
        <v>Low Performer</v>
      </c>
      <c r="M252" s="2" t="str">
        <f>IF(Table1[[#This Row],[Sales Performance]]="High Performer","Eligible for Promotion",IF(Table1[[#This Row],[Sales Performance]]="Low Performer","Review Cause Effect","Room For Growth"))</f>
        <v>Review Cause Effect</v>
      </c>
    </row>
    <row r="253" spans="1:13" x14ac:dyDescent="0.35">
      <c r="A253">
        <v>447</v>
      </c>
      <c r="B253" t="s">
        <v>865</v>
      </c>
      <c r="C253" t="s">
        <v>11</v>
      </c>
      <c r="D253" t="s">
        <v>43</v>
      </c>
      <c r="E253" s="14" t="s">
        <v>1555</v>
      </c>
      <c r="F253" t="s">
        <v>1556</v>
      </c>
      <c r="G253" s="8">
        <v>31219</v>
      </c>
      <c r="H253" s="8">
        <v>69829</v>
      </c>
      <c r="I253" s="8">
        <v>42516</v>
      </c>
      <c r="J253" s="9">
        <v>34408</v>
      </c>
      <c r="K253" s="8">
        <f>SUM(Table1[[#This Row],[Sales (Q1)]:[Sales (Q4)]])</f>
        <v>177972</v>
      </c>
      <c r="L253" s="2" t="str">
        <f>IF(Table1[[#This Row],[Employee Total Sales]]&gt;=200000,"High Performer",IF(Table1[[#This Row],[Employee Total Sales]]&gt;=180000,"Mid Performer","Low Performer"))</f>
        <v>Low Performer</v>
      </c>
      <c r="M253" s="2" t="str">
        <f>IF(Table1[[#This Row],[Sales Performance]]="High Performer","Eligible for Promotion",IF(Table1[[#This Row],[Sales Performance]]="Low Performer","Review Cause Effect","Room For Growth"))</f>
        <v>Review Cause Effect</v>
      </c>
    </row>
    <row r="254" spans="1:13" x14ac:dyDescent="0.35">
      <c r="A254">
        <v>260</v>
      </c>
      <c r="B254" t="s">
        <v>449</v>
      </c>
      <c r="C254" t="s">
        <v>11</v>
      </c>
      <c r="D254" t="s">
        <v>43</v>
      </c>
      <c r="E254" s="14" t="s">
        <v>1557</v>
      </c>
      <c r="F254" t="s">
        <v>1558</v>
      </c>
      <c r="G254" s="8">
        <v>40611</v>
      </c>
      <c r="H254" s="8">
        <v>71844</v>
      </c>
      <c r="I254" s="8">
        <v>29163</v>
      </c>
      <c r="J254" s="9">
        <v>36238</v>
      </c>
      <c r="K254" s="8">
        <f>SUM(Table1[[#This Row],[Sales (Q1)]:[Sales (Q4)]])</f>
        <v>177856</v>
      </c>
      <c r="L254" s="2" t="str">
        <f>IF(Table1[[#This Row],[Employee Total Sales]]&gt;=200000,"High Performer",IF(Table1[[#This Row],[Employee Total Sales]]&gt;=180000,"Mid Performer","Low Performer"))</f>
        <v>Low Performer</v>
      </c>
      <c r="M254" s="2" t="str">
        <f>IF(Table1[[#This Row],[Sales Performance]]="High Performer","Eligible for Promotion",IF(Table1[[#This Row],[Sales Performance]]="Low Performer","Review Cause Effect","Room For Growth"))</f>
        <v>Review Cause Effect</v>
      </c>
    </row>
    <row r="255" spans="1:13" x14ac:dyDescent="0.35">
      <c r="A255">
        <v>261</v>
      </c>
      <c r="B255" t="s">
        <v>452</v>
      </c>
      <c r="C255" t="s">
        <v>32</v>
      </c>
      <c r="D255" t="s">
        <v>12</v>
      </c>
      <c r="E255" s="14" t="s">
        <v>1241</v>
      </c>
      <c r="F255" t="s">
        <v>1559</v>
      </c>
      <c r="G255" s="8">
        <v>27388</v>
      </c>
      <c r="H255" s="8">
        <v>35799</v>
      </c>
      <c r="I255" s="8">
        <v>52740</v>
      </c>
      <c r="J255" s="9">
        <v>61817</v>
      </c>
      <c r="K255" s="8">
        <f>SUM(Table1[[#This Row],[Sales (Q1)]:[Sales (Q4)]])</f>
        <v>177744</v>
      </c>
      <c r="L255" s="2" t="str">
        <f>IF(Table1[[#This Row],[Employee Total Sales]]&gt;=200000,"High Performer",IF(Table1[[#This Row],[Employee Total Sales]]&gt;=180000,"Mid Performer","Low Performer"))</f>
        <v>Low Performer</v>
      </c>
      <c r="M255" s="2" t="str">
        <f>IF(Table1[[#This Row],[Sales Performance]]="High Performer","Eligible for Promotion",IF(Table1[[#This Row],[Sales Performance]]="Low Performer","Review Cause Effect","Room For Growth"))</f>
        <v>Review Cause Effect</v>
      </c>
    </row>
    <row r="256" spans="1:13" x14ac:dyDescent="0.35">
      <c r="A256">
        <v>387</v>
      </c>
      <c r="B256" t="s">
        <v>487</v>
      </c>
      <c r="C256" t="s">
        <v>39</v>
      </c>
      <c r="D256" t="s">
        <v>43</v>
      </c>
      <c r="E256" s="14" t="s">
        <v>740</v>
      </c>
      <c r="F256" t="s">
        <v>1560</v>
      </c>
      <c r="G256" s="8">
        <v>33885</v>
      </c>
      <c r="H256" s="8">
        <v>33356</v>
      </c>
      <c r="I256" s="8">
        <v>55810</v>
      </c>
      <c r="J256" s="9">
        <v>54292</v>
      </c>
      <c r="K256" s="8">
        <f>SUM(Table1[[#This Row],[Sales (Q1)]:[Sales (Q4)]])</f>
        <v>177343</v>
      </c>
      <c r="L256" s="2" t="str">
        <f>IF(Table1[[#This Row],[Employee Total Sales]]&gt;=200000,"High Performer",IF(Table1[[#This Row],[Employee Total Sales]]&gt;=180000,"Mid Performer","Low Performer"))</f>
        <v>Low Performer</v>
      </c>
      <c r="M256" s="2" t="str">
        <f>IF(Table1[[#This Row],[Sales Performance]]="High Performer","Eligible for Promotion",IF(Table1[[#This Row],[Sales Performance]]="Low Performer","Review Cause Effect","Room For Growth"))</f>
        <v>Review Cause Effect</v>
      </c>
    </row>
    <row r="257" spans="1:13" x14ac:dyDescent="0.35">
      <c r="A257">
        <v>385</v>
      </c>
      <c r="B257" t="s">
        <v>735</v>
      </c>
      <c r="C257" t="s">
        <v>32</v>
      </c>
      <c r="D257" t="s">
        <v>43</v>
      </c>
      <c r="E257" s="14" t="s">
        <v>1489</v>
      </c>
      <c r="F257" t="s">
        <v>1561</v>
      </c>
      <c r="G257" s="8">
        <v>64874</v>
      </c>
      <c r="H257" s="8">
        <v>57749</v>
      </c>
      <c r="I257" s="8">
        <v>25871</v>
      </c>
      <c r="J257" s="9">
        <v>27374</v>
      </c>
      <c r="K257" s="8">
        <f>SUM(Table1[[#This Row],[Sales (Q1)]:[Sales (Q4)]])</f>
        <v>175868</v>
      </c>
      <c r="L257" s="2" t="str">
        <f>IF(Table1[[#This Row],[Employee Total Sales]]&gt;=200000,"High Performer",IF(Table1[[#This Row],[Employee Total Sales]]&gt;=180000,"Mid Performer","Low Performer"))</f>
        <v>Low Performer</v>
      </c>
      <c r="M257" s="2" t="str">
        <f>IF(Table1[[#This Row],[Sales Performance]]="High Performer","Eligible for Promotion",IF(Table1[[#This Row],[Sales Performance]]="Low Performer","Review Cause Effect","Room For Growth"))</f>
        <v>Review Cause Effect</v>
      </c>
    </row>
    <row r="258" spans="1:13" x14ac:dyDescent="0.35">
      <c r="A258">
        <v>305</v>
      </c>
      <c r="B258" t="s">
        <v>554</v>
      </c>
      <c r="C258" t="s">
        <v>11</v>
      </c>
      <c r="D258" t="s">
        <v>28</v>
      </c>
      <c r="E258" s="14" t="s">
        <v>1562</v>
      </c>
      <c r="F258" t="s">
        <v>1563</v>
      </c>
      <c r="G258" s="8">
        <v>73991</v>
      </c>
      <c r="H258" s="8">
        <v>22996</v>
      </c>
      <c r="I258" s="8">
        <v>39542</v>
      </c>
      <c r="J258" s="9">
        <v>39059</v>
      </c>
      <c r="K258" s="8">
        <f>SUM(Table1[[#This Row],[Sales (Q1)]:[Sales (Q4)]])</f>
        <v>175588</v>
      </c>
      <c r="L258" s="2" t="str">
        <f>IF(Table1[[#This Row],[Employee Total Sales]]&gt;=200000,"High Performer",IF(Table1[[#This Row],[Employee Total Sales]]&gt;=180000,"Mid Performer","Low Performer"))</f>
        <v>Low Performer</v>
      </c>
      <c r="M258" s="2" t="str">
        <f>IF(Table1[[#This Row],[Sales Performance]]="High Performer","Eligible for Promotion",IF(Table1[[#This Row],[Sales Performance]]="Low Performer","Review Cause Effect","Room For Growth"))</f>
        <v>Review Cause Effect</v>
      </c>
    </row>
    <row r="259" spans="1:13" x14ac:dyDescent="0.35">
      <c r="A259">
        <v>296</v>
      </c>
      <c r="B259" t="s">
        <v>10</v>
      </c>
      <c r="C259" t="s">
        <v>39</v>
      </c>
      <c r="D259" t="s">
        <v>12</v>
      </c>
      <c r="E259" s="14" t="s">
        <v>1564</v>
      </c>
      <c r="F259" t="s">
        <v>1565</v>
      </c>
      <c r="G259" s="8">
        <v>45333</v>
      </c>
      <c r="H259" s="8">
        <v>23253</v>
      </c>
      <c r="I259" s="8">
        <v>30676</v>
      </c>
      <c r="J259" s="9">
        <v>75956</v>
      </c>
      <c r="K259" s="8">
        <f>SUM(Table1[[#This Row],[Sales (Q1)]:[Sales (Q4)]])</f>
        <v>175218</v>
      </c>
      <c r="L259" s="2" t="str">
        <f>IF(Table1[[#This Row],[Employee Total Sales]]&gt;=200000,"High Performer",IF(Table1[[#This Row],[Employee Total Sales]]&gt;=180000,"Mid Performer","Low Performer"))</f>
        <v>Low Performer</v>
      </c>
      <c r="M259" s="2" t="str">
        <f>IF(Table1[[#This Row],[Sales Performance]]="High Performer","Eligible for Promotion",IF(Table1[[#This Row],[Sales Performance]]="Low Performer","Review Cause Effect","Room For Growth"))</f>
        <v>Review Cause Effect</v>
      </c>
    </row>
    <row r="260" spans="1:13" x14ac:dyDescent="0.35">
      <c r="A260">
        <v>348</v>
      </c>
      <c r="B260" t="s">
        <v>386</v>
      </c>
      <c r="C260" t="s">
        <v>27</v>
      </c>
      <c r="D260" t="s">
        <v>28</v>
      </c>
      <c r="E260" s="14" t="s">
        <v>589</v>
      </c>
      <c r="F260" t="s">
        <v>1566</v>
      </c>
      <c r="G260" s="8">
        <v>25245</v>
      </c>
      <c r="H260" s="8">
        <v>59913</v>
      </c>
      <c r="I260" s="8">
        <v>22474</v>
      </c>
      <c r="J260" s="9">
        <v>67480</v>
      </c>
      <c r="K260" s="8">
        <f>SUM(Table1[[#This Row],[Sales (Q1)]:[Sales (Q4)]])</f>
        <v>175112</v>
      </c>
      <c r="L260" s="2" t="str">
        <f>IF(Table1[[#This Row],[Employee Total Sales]]&gt;=200000,"High Performer",IF(Table1[[#This Row],[Employee Total Sales]]&gt;=180000,"Mid Performer","Low Performer"))</f>
        <v>Low Performer</v>
      </c>
      <c r="M260" s="2" t="str">
        <f>IF(Table1[[#This Row],[Sales Performance]]="High Performer","Eligible for Promotion",IF(Table1[[#This Row],[Sales Performance]]="Low Performer","Review Cause Effect","Room For Growth"))</f>
        <v>Review Cause Effect</v>
      </c>
    </row>
    <row r="261" spans="1:13" x14ac:dyDescent="0.35">
      <c r="A261">
        <v>325</v>
      </c>
      <c r="B261" t="s">
        <v>600</v>
      </c>
      <c r="C261" t="s">
        <v>55</v>
      </c>
      <c r="D261" t="s">
        <v>12</v>
      </c>
      <c r="E261" s="14" t="s">
        <v>1567</v>
      </c>
      <c r="F261" t="s">
        <v>1568</v>
      </c>
      <c r="G261" s="8">
        <v>54432</v>
      </c>
      <c r="H261" s="8">
        <v>34415</v>
      </c>
      <c r="I261" s="8">
        <v>32050</v>
      </c>
      <c r="J261" s="9">
        <v>54118</v>
      </c>
      <c r="K261" s="8">
        <f>SUM(Table1[[#This Row],[Sales (Q1)]:[Sales (Q4)]])</f>
        <v>175015</v>
      </c>
      <c r="L261" s="2" t="str">
        <f>IF(Table1[[#This Row],[Employee Total Sales]]&gt;=200000,"High Performer",IF(Table1[[#This Row],[Employee Total Sales]]&gt;=180000,"Mid Performer","Low Performer"))</f>
        <v>Low Performer</v>
      </c>
      <c r="M261" s="2" t="str">
        <f>IF(Table1[[#This Row],[Sales Performance]]="High Performer","Eligible for Promotion",IF(Table1[[#This Row],[Sales Performance]]="Low Performer","Review Cause Effect","Room For Growth"))</f>
        <v>Review Cause Effect</v>
      </c>
    </row>
    <row r="262" spans="1:13" x14ac:dyDescent="0.35">
      <c r="A262">
        <v>434</v>
      </c>
      <c r="B262" t="s">
        <v>120</v>
      </c>
      <c r="C262" t="s">
        <v>39</v>
      </c>
      <c r="D262" t="s">
        <v>20</v>
      </c>
      <c r="E262" s="14" t="s">
        <v>837</v>
      </c>
      <c r="F262" t="s">
        <v>1569</v>
      </c>
      <c r="G262" s="8">
        <v>29755</v>
      </c>
      <c r="H262" s="8">
        <v>62786</v>
      </c>
      <c r="I262" s="8">
        <v>61965</v>
      </c>
      <c r="J262" s="9">
        <v>20056</v>
      </c>
      <c r="K262" s="8">
        <f>SUM(Table1[[#This Row],[Sales (Q1)]:[Sales (Q4)]])</f>
        <v>174562</v>
      </c>
      <c r="L262" s="2" t="str">
        <f>IF(Table1[[#This Row],[Employee Total Sales]]&gt;=200000,"High Performer",IF(Table1[[#This Row],[Employee Total Sales]]&gt;=180000,"Mid Performer","Low Performer"))</f>
        <v>Low Performer</v>
      </c>
      <c r="M262" s="2" t="str">
        <f>IF(Table1[[#This Row],[Sales Performance]]="High Performer","Eligible for Promotion",IF(Table1[[#This Row],[Sales Performance]]="Low Performer","Review Cause Effect","Room For Growth"))</f>
        <v>Review Cause Effect</v>
      </c>
    </row>
    <row r="263" spans="1:13" x14ac:dyDescent="0.35">
      <c r="A263">
        <v>566</v>
      </c>
      <c r="B263" t="s">
        <v>642</v>
      </c>
      <c r="C263" t="s">
        <v>39</v>
      </c>
      <c r="D263" t="s">
        <v>20</v>
      </c>
      <c r="E263" s="14" t="s">
        <v>643</v>
      </c>
      <c r="F263" t="s">
        <v>1570</v>
      </c>
      <c r="G263" s="8">
        <v>64229</v>
      </c>
      <c r="H263" s="8">
        <v>56235</v>
      </c>
      <c r="I263" s="8">
        <v>31641</v>
      </c>
      <c r="J263" s="9">
        <v>22101</v>
      </c>
      <c r="K263" s="8">
        <f>SUM(Table1[[#This Row],[Sales (Q1)]:[Sales (Q4)]])</f>
        <v>174206</v>
      </c>
      <c r="L263" s="2" t="str">
        <f>IF(Table1[[#This Row],[Employee Total Sales]]&gt;=200000,"High Performer",IF(Table1[[#This Row],[Employee Total Sales]]&gt;=180000,"Mid Performer","Low Performer"))</f>
        <v>Low Performer</v>
      </c>
      <c r="M263" s="2" t="str">
        <f>IF(Table1[[#This Row],[Sales Performance]]="High Performer","Eligible for Promotion",IF(Table1[[#This Row],[Sales Performance]]="Low Performer","Review Cause Effect","Room For Growth"))</f>
        <v>Review Cause Effect</v>
      </c>
    </row>
    <row r="264" spans="1:13" x14ac:dyDescent="0.35">
      <c r="A264">
        <v>424</v>
      </c>
      <c r="B264" t="s">
        <v>817</v>
      </c>
      <c r="C264" t="s">
        <v>55</v>
      </c>
      <c r="D264" t="s">
        <v>20</v>
      </c>
      <c r="E264" s="14" t="s">
        <v>1571</v>
      </c>
      <c r="F264" t="s">
        <v>1572</v>
      </c>
      <c r="G264" s="8">
        <v>25796</v>
      </c>
      <c r="H264" s="8">
        <v>36071</v>
      </c>
      <c r="I264" s="8">
        <v>50962</v>
      </c>
      <c r="J264" s="9">
        <v>61331</v>
      </c>
      <c r="K264" s="8">
        <f>SUM(Table1[[#This Row],[Sales (Q1)]:[Sales (Q4)]])</f>
        <v>174160</v>
      </c>
      <c r="L264" s="2" t="str">
        <f>IF(Table1[[#This Row],[Employee Total Sales]]&gt;=200000,"High Performer",IF(Table1[[#This Row],[Employee Total Sales]]&gt;=180000,"Mid Performer","Low Performer"))</f>
        <v>Low Performer</v>
      </c>
      <c r="M264" s="2" t="str">
        <f>IF(Table1[[#This Row],[Sales Performance]]="High Performer","Eligible for Promotion",IF(Table1[[#This Row],[Sales Performance]]="Low Performer","Review Cause Effect","Room For Growth"))</f>
        <v>Review Cause Effect</v>
      </c>
    </row>
    <row r="265" spans="1:13" x14ac:dyDescent="0.35">
      <c r="A265">
        <v>453</v>
      </c>
      <c r="B265" t="s">
        <v>215</v>
      </c>
      <c r="C265" t="s">
        <v>111</v>
      </c>
      <c r="D265" t="s">
        <v>43</v>
      </c>
      <c r="E265" s="14" t="s">
        <v>216</v>
      </c>
      <c r="F265" t="s">
        <v>1573</v>
      </c>
      <c r="G265" s="8">
        <v>64579</v>
      </c>
      <c r="H265" s="8">
        <v>47717</v>
      </c>
      <c r="I265" s="8">
        <v>38162</v>
      </c>
      <c r="J265" s="9">
        <v>23569</v>
      </c>
      <c r="K265" s="8">
        <f>SUM(Table1[[#This Row],[Sales (Q1)]:[Sales (Q4)]])</f>
        <v>174027</v>
      </c>
      <c r="L265" s="2" t="str">
        <f>IF(Table1[[#This Row],[Employee Total Sales]]&gt;=200000,"High Performer",IF(Table1[[#This Row],[Employee Total Sales]]&gt;=180000,"Mid Performer","Low Performer"))</f>
        <v>Low Performer</v>
      </c>
      <c r="M265" s="2" t="str">
        <f>IF(Table1[[#This Row],[Sales Performance]]="High Performer","Eligible for Promotion",IF(Table1[[#This Row],[Sales Performance]]="Low Performer","Review Cause Effect","Room For Growth"))</f>
        <v>Review Cause Effect</v>
      </c>
    </row>
    <row r="266" spans="1:13" x14ac:dyDescent="0.35">
      <c r="A266">
        <v>259</v>
      </c>
      <c r="B266" t="s">
        <v>446</v>
      </c>
      <c r="C266" t="s">
        <v>11</v>
      </c>
      <c r="D266" t="s">
        <v>28</v>
      </c>
      <c r="E266" s="14" t="s">
        <v>447</v>
      </c>
      <c r="F266" t="s">
        <v>1574</v>
      </c>
      <c r="G266" s="8">
        <v>20555</v>
      </c>
      <c r="H266" s="8">
        <v>59997</v>
      </c>
      <c r="I266" s="8">
        <v>62599</v>
      </c>
      <c r="J266" s="9">
        <v>30755</v>
      </c>
      <c r="K266" s="8">
        <f>SUM(Table1[[#This Row],[Sales (Q1)]:[Sales (Q4)]])</f>
        <v>173906</v>
      </c>
      <c r="L266" s="2" t="str">
        <f>IF(Table1[[#This Row],[Employee Total Sales]]&gt;=200000,"High Performer",IF(Table1[[#This Row],[Employee Total Sales]]&gt;=180000,"Mid Performer","Low Performer"))</f>
        <v>Low Performer</v>
      </c>
      <c r="M266" s="2" t="str">
        <f>IF(Table1[[#This Row],[Sales Performance]]="High Performer","Eligible for Promotion",IF(Table1[[#This Row],[Sales Performance]]="Low Performer","Review Cause Effect","Room For Growth"))</f>
        <v>Review Cause Effect</v>
      </c>
    </row>
    <row r="267" spans="1:13" x14ac:dyDescent="0.35">
      <c r="A267">
        <v>377</v>
      </c>
      <c r="B267" t="s">
        <v>324</v>
      </c>
      <c r="C267" t="s">
        <v>27</v>
      </c>
      <c r="D267" t="s">
        <v>28</v>
      </c>
      <c r="E267" s="14" t="s">
        <v>1362</v>
      </c>
      <c r="F267" t="s">
        <v>1575</v>
      </c>
      <c r="G267" s="8">
        <v>74686</v>
      </c>
      <c r="H267" s="8">
        <v>39916</v>
      </c>
      <c r="I267" s="8">
        <v>25107</v>
      </c>
      <c r="J267" s="9">
        <v>34149</v>
      </c>
      <c r="K267" s="8">
        <f>SUM(Table1[[#This Row],[Sales (Q1)]:[Sales (Q4)]])</f>
        <v>173858</v>
      </c>
      <c r="L267" s="2" t="str">
        <f>IF(Table1[[#This Row],[Employee Total Sales]]&gt;=200000,"High Performer",IF(Table1[[#This Row],[Employee Total Sales]]&gt;=180000,"Mid Performer","Low Performer"))</f>
        <v>Low Performer</v>
      </c>
      <c r="M267" s="2" t="str">
        <f>IF(Table1[[#This Row],[Sales Performance]]="High Performer","Eligible for Promotion",IF(Table1[[#This Row],[Sales Performance]]="Low Performer","Review Cause Effect","Room For Growth"))</f>
        <v>Review Cause Effect</v>
      </c>
    </row>
    <row r="268" spans="1:13" x14ac:dyDescent="0.35">
      <c r="A268">
        <v>419</v>
      </c>
      <c r="B268" t="s">
        <v>386</v>
      </c>
      <c r="C268" t="s">
        <v>16</v>
      </c>
      <c r="D268" t="s">
        <v>28</v>
      </c>
      <c r="E268" s="14" t="s">
        <v>807</v>
      </c>
      <c r="F268" t="s">
        <v>1576</v>
      </c>
      <c r="G268" s="8">
        <v>57875</v>
      </c>
      <c r="H268" s="8">
        <v>49305</v>
      </c>
      <c r="I268" s="8">
        <v>32823</v>
      </c>
      <c r="J268" s="9">
        <v>33478</v>
      </c>
      <c r="K268" s="8">
        <f>SUM(Table1[[#This Row],[Sales (Q1)]:[Sales (Q4)]])</f>
        <v>173481</v>
      </c>
      <c r="L268" s="2" t="str">
        <f>IF(Table1[[#This Row],[Employee Total Sales]]&gt;=200000,"High Performer",IF(Table1[[#This Row],[Employee Total Sales]]&gt;=180000,"Mid Performer","Low Performer"))</f>
        <v>Low Performer</v>
      </c>
      <c r="M268" s="2" t="str">
        <f>IF(Table1[[#This Row],[Sales Performance]]="High Performer","Eligible for Promotion",IF(Table1[[#This Row],[Sales Performance]]="Low Performer","Review Cause Effect","Room For Growth"))</f>
        <v>Review Cause Effect</v>
      </c>
    </row>
    <row r="269" spans="1:13" x14ac:dyDescent="0.35">
      <c r="A269">
        <v>106</v>
      </c>
      <c r="B269" t="s">
        <v>31</v>
      </c>
      <c r="C269" t="s">
        <v>32</v>
      </c>
      <c r="D269" t="s">
        <v>20</v>
      </c>
      <c r="E269" s="14" t="s">
        <v>33</v>
      </c>
      <c r="F269" t="s">
        <v>1577</v>
      </c>
      <c r="G269" s="8">
        <v>24163</v>
      </c>
      <c r="H269" s="8">
        <v>45216</v>
      </c>
      <c r="I269" s="8">
        <v>45009</v>
      </c>
      <c r="J269" s="9">
        <v>59052</v>
      </c>
      <c r="K269" s="8">
        <f>SUM(Table1[[#This Row],[Sales (Q1)]:[Sales (Q4)]])</f>
        <v>173440</v>
      </c>
      <c r="L269" s="2" t="str">
        <f>IF(Table1[[#This Row],[Employee Total Sales]]&gt;=200000,"High Performer",IF(Table1[[#This Row],[Employee Total Sales]]&gt;=180000,"Mid Performer","Low Performer"))</f>
        <v>Low Performer</v>
      </c>
      <c r="M269" s="2" t="str">
        <f>IF(Table1[[#This Row],[Sales Performance]]="High Performer","Eligible for Promotion",IF(Table1[[#This Row],[Sales Performance]]="Low Performer","Review Cause Effect","Room For Growth"))</f>
        <v>Review Cause Effect</v>
      </c>
    </row>
    <row r="270" spans="1:13" x14ac:dyDescent="0.35">
      <c r="A270">
        <v>355</v>
      </c>
      <c r="B270" t="s">
        <v>321</v>
      </c>
      <c r="C270" t="s">
        <v>32</v>
      </c>
      <c r="D270" t="s">
        <v>12</v>
      </c>
      <c r="E270" s="14" t="s">
        <v>1277</v>
      </c>
      <c r="F270" t="s">
        <v>1578</v>
      </c>
      <c r="G270" s="8">
        <v>55439</v>
      </c>
      <c r="H270" s="8">
        <v>22134</v>
      </c>
      <c r="I270" s="8">
        <v>52930</v>
      </c>
      <c r="J270" s="9">
        <v>42759</v>
      </c>
      <c r="K270" s="8">
        <f>SUM(Table1[[#This Row],[Sales (Q1)]:[Sales (Q4)]])</f>
        <v>173262</v>
      </c>
      <c r="L270" s="2" t="str">
        <f>IF(Table1[[#This Row],[Employee Total Sales]]&gt;=200000,"High Performer",IF(Table1[[#This Row],[Employee Total Sales]]&gt;=180000,"Mid Performer","Low Performer"))</f>
        <v>Low Performer</v>
      </c>
      <c r="M270" s="2" t="str">
        <f>IF(Table1[[#This Row],[Sales Performance]]="High Performer","Eligible for Promotion",IF(Table1[[#This Row],[Sales Performance]]="Low Performer","Review Cause Effect","Room For Growth"))</f>
        <v>Review Cause Effect</v>
      </c>
    </row>
    <row r="271" spans="1:13" x14ac:dyDescent="0.35">
      <c r="A271">
        <v>527</v>
      </c>
      <c r="B271" t="s">
        <v>914</v>
      </c>
      <c r="C271" t="s">
        <v>16</v>
      </c>
      <c r="D271" t="s">
        <v>12</v>
      </c>
      <c r="E271" s="14" t="s">
        <v>1026</v>
      </c>
      <c r="F271" t="s">
        <v>1579</v>
      </c>
      <c r="G271" s="8">
        <v>68333</v>
      </c>
      <c r="H271" s="8">
        <v>36228</v>
      </c>
      <c r="I271" s="8">
        <v>26896</v>
      </c>
      <c r="J271" s="9">
        <v>41485</v>
      </c>
      <c r="K271" s="8">
        <f>SUM(Table1[[#This Row],[Sales (Q1)]:[Sales (Q4)]])</f>
        <v>172942</v>
      </c>
      <c r="L271" s="2" t="str">
        <f>IF(Table1[[#This Row],[Employee Total Sales]]&gt;=200000,"High Performer",IF(Table1[[#This Row],[Employee Total Sales]]&gt;=180000,"Mid Performer","Low Performer"))</f>
        <v>Low Performer</v>
      </c>
      <c r="M271" s="2" t="str">
        <f>IF(Table1[[#This Row],[Sales Performance]]="High Performer","Eligible for Promotion",IF(Table1[[#This Row],[Sales Performance]]="Low Performer","Review Cause Effect","Room For Growth"))</f>
        <v>Review Cause Effect</v>
      </c>
    </row>
    <row r="272" spans="1:13" x14ac:dyDescent="0.35">
      <c r="A272">
        <v>187</v>
      </c>
      <c r="B272" t="s">
        <v>262</v>
      </c>
      <c r="C272" t="s">
        <v>55</v>
      </c>
      <c r="D272" t="s">
        <v>20</v>
      </c>
      <c r="E272" s="14" t="s">
        <v>1728</v>
      </c>
      <c r="F272" t="s">
        <v>1580</v>
      </c>
      <c r="G272" s="8">
        <v>35765</v>
      </c>
      <c r="H272" s="8">
        <v>57399</v>
      </c>
      <c r="I272" s="8">
        <v>47300</v>
      </c>
      <c r="J272" s="9">
        <v>32275</v>
      </c>
      <c r="K272" s="8">
        <f>SUM(Table1[[#This Row],[Sales (Q1)]:[Sales (Q4)]])</f>
        <v>172739</v>
      </c>
      <c r="L272" s="2" t="str">
        <f>IF(Table1[[#This Row],[Employee Total Sales]]&gt;=200000,"High Performer",IF(Table1[[#This Row],[Employee Total Sales]]&gt;=180000,"Mid Performer","Low Performer"))</f>
        <v>Low Performer</v>
      </c>
      <c r="M272" s="2" t="str">
        <f>IF(Table1[[#This Row],[Sales Performance]]="High Performer","Eligible for Promotion",IF(Table1[[#This Row],[Sales Performance]]="Low Performer","Review Cause Effect","Room For Growth"))</f>
        <v>Review Cause Effect</v>
      </c>
    </row>
    <row r="273" spans="1:13" x14ac:dyDescent="0.35">
      <c r="A273">
        <v>386</v>
      </c>
      <c r="B273" t="s">
        <v>350</v>
      </c>
      <c r="C273" t="s">
        <v>111</v>
      </c>
      <c r="D273" t="s">
        <v>43</v>
      </c>
      <c r="E273" s="14" t="s">
        <v>738</v>
      </c>
      <c r="F273" t="s">
        <v>739</v>
      </c>
      <c r="G273" s="8">
        <v>33086</v>
      </c>
      <c r="H273" s="8">
        <v>64915</v>
      </c>
      <c r="I273" s="8">
        <v>44498</v>
      </c>
      <c r="J273" s="9">
        <v>30223</v>
      </c>
      <c r="K273" s="8">
        <f>SUM(Table1[[#This Row],[Sales (Q1)]:[Sales (Q4)]])</f>
        <v>172722</v>
      </c>
      <c r="L273" s="2" t="str">
        <f>IF(Table1[[#This Row],[Employee Total Sales]]&gt;=200000,"High Performer",IF(Table1[[#This Row],[Employee Total Sales]]&gt;=180000,"Mid Performer","Low Performer"))</f>
        <v>Low Performer</v>
      </c>
      <c r="M273" s="2" t="str">
        <f>IF(Table1[[#This Row],[Sales Performance]]="High Performer","Eligible for Promotion",IF(Table1[[#This Row],[Sales Performance]]="Low Performer","Review Cause Effect","Room For Growth"))</f>
        <v>Review Cause Effect</v>
      </c>
    </row>
    <row r="274" spans="1:13" x14ac:dyDescent="0.35">
      <c r="A274">
        <v>161</v>
      </c>
      <c r="B274" t="s">
        <v>193</v>
      </c>
      <c r="C274" t="s">
        <v>39</v>
      </c>
      <c r="D274" t="s">
        <v>43</v>
      </c>
      <c r="E274" s="14" t="s">
        <v>1191</v>
      </c>
      <c r="F274" t="s">
        <v>1581</v>
      </c>
      <c r="G274" s="8">
        <v>46746</v>
      </c>
      <c r="H274" s="8">
        <v>38333</v>
      </c>
      <c r="I274" s="8">
        <v>22144</v>
      </c>
      <c r="J274" s="9">
        <v>65238</v>
      </c>
      <c r="K274" s="8">
        <f>SUM(Table1[[#This Row],[Sales (Q1)]:[Sales (Q4)]])</f>
        <v>172461</v>
      </c>
      <c r="L274" s="2" t="str">
        <f>IF(Table1[[#This Row],[Employee Total Sales]]&gt;=200000,"High Performer",IF(Table1[[#This Row],[Employee Total Sales]]&gt;=180000,"Mid Performer","Low Performer"))</f>
        <v>Low Performer</v>
      </c>
      <c r="M274" s="2" t="str">
        <f>IF(Table1[[#This Row],[Sales Performance]]="High Performer","Eligible for Promotion",IF(Table1[[#This Row],[Sales Performance]]="Low Performer","Review Cause Effect","Room For Growth"))</f>
        <v>Review Cause Effect</v>
      </c>
    </row>
    <row r="275" spans="1:13" x14ac:dyDescent="0.35">
      <c r="A275">
        <v>315</v>
      </c>
      <c r="B275" t="s">
        <v>256</v>
      </c>
      <c r="C275" t="s">
        <v>16</v>
      </c>
      <c r="D275" t="s">
        <v>43</v>
      </c>
      <c r="E275" s="14" t="s">
        <v>578</v>
      </c>
      <c r="F275" t="s">
        <v>1582</v>
      </c>
      <c r="G275" s="8">
        <v>46439</v>
      </c>
      <c r="H275" s="8">
        <v>47023</v>
      </c>
      <c r="I275" s="8">
        <v>22348</v>
      </c>
      <c r="J275" s="9">
        <v>56512</v>
      </c>
      <c r="K275" s="8">
        <f>SUM(Table1[[#This Row],[Sales (Q1)]:[Sales (Q4)]])</f>
        <v>172322</v>
      </c>
      <c r="L275" s="2" t="str">
        <f>IF(Table1[[#This Row],[Employee Total Sales]]&gt;=200000,"High Performer",IF(Table1[[#This Row],[Employee Total Sales]]&gt;=180000,"Mid Performer","Low Performer"))</f>
        <v>Low Performer</v>
      </c>
      <c r="M275" s="2" t="str">
        <f>IF(Table1[[#This Row],[Sales Performance]]="High Performer","Eligible for Promotion",IF(Table1[[#This Row],[Sales Performance]]="Low Performer","Review Cause Effect","Room For Growth"))</f>
        <v>Review Cause Effect</v>
      </c>
    </row>
    <row r="276" spans="1:13" x14ac:dyDescent="0.35">
      <c r="A276">
        <v>588</v>
      </c>
      <c r="B276" t="s">
        <v>86</v>
      </c>
      <c r="C276" t="s">
        <v>11</v>
      </c>
      <c r="D276" t="s">
        <v>20</v>
      </c>
      <c r="E276" s="14" t="s">
        <v>1468</v>
      </c>
      <c r="F276" t="s">
        <v>1139</v>
      </c>
      <c r="G276" s="8">
        <v>73502</v>
      </c>
      <c r="H276" s="8">
        <v>52225</v>
      </c>
      <c r="I276" s="8">
        <v>20103</v>
      </c>
      <c r="J276" s="9">
        <v>26348</v>
      </c>
      <c r="K276" s="8">
        <f>SUM(Table1[[#This Row],[Sales (Q1)]:[Sales (Q4)]])</f>
        <v>172178</v>
      </c>
      <c r="L276" s="2" t="str">
        <f>IF(Table1[[#This Row],[Employee Total Sales]]&gt;=200000,"High Performer",IF(Table1[[#This Row],[Employee Total Sales]]&gt;=180000,"Mid Performer","Low Performer"))</f>
        <v>Low Performer</v>
      </c>
      <c r="M276" s="2" t="str">
        <f>IF(Table1[[#This Row],[Sales Performance]]="High Performer","Eligible for Promotion",IF(Table1[[#This Row],[Sales Performance]]="Low Performer","Review Cause Effect","Room For Growth"))</f>
        <v>Review Cause Effect</v>
      </c>
    </row>
    <row r="277" spans="1:13" x14ac:dyDescent="0.35">
      <c r="A277">
        <v>472</v>
      </c>
      <c r="B277" t="s">
        <v>917</v>
      </c>
      <c r="C277" t="s">
        <v>55</v>
      </c>
      <c r="D277" t="s">
        <v>28</v>
      </c>
      <c r="E277" s="14" t="s">
        <v>1729</v>
      </c>
      <c r="F277" t="s">
        <v>1583</v>
      </c>
      <c r="G277" s="8">
        <v>32132</v>
      </c>
      <c r="H277" s="8">
        <v>48813</v>
      </c>
      <c r="I277" s="8">
        <v>64140</v>
      </c>
      <c r="J277" s="9">
        <v>27033</v>
      </c>
      <c r="K277" s="8">
        <f>SUM(Table1[[#This Row],[Sales (Q1)]:[Sales (Q4)]])</f>
        <v>172118</v>
      </c>
      <c r="L277" s="2" t="str">
        <f>IF(Table1[[#This Row],[Employee Total Sales]]&gt;=200000,"High Performer",IF(Table1[[#This Row],[Employee Total Sales]]&gt;=180000,"Mid Performer","Low Performer"))</f>
        <v>Low Performer</v>
      </c>
      <c r="M277" s="2" t="str">
        <f>IF(Table1[[#This Row],[Sales Performance]]="High Performer","Eligible for Promotion",IF(Table1[[#This Row],[Sales Performance]]="Low Performer","Review Cause Effect","Room For Growth"))</f>
        <v>Review Cause Effect</v>
      </c>
    </row>
    <row r="278" spans="1:13" x14ac:dyDescent="0.35">
      <c r="A278">
        <v>244</v>
      </c>
      <c r="B278" t="s">
        <v>409</v>
      </c>
      <c r="C278" t="s">
        <v>55</v>
      </c>
      <c r="D278" t="s">
        <v>20</v>
      </c>
      <c r="E278" s="14" t="s">
        <v>410</v>
      </c>
      <c r="F278" t="s">
        <v>1584</v>
      </c>
      <c r="G278" s="8">
        <v>51649</v>
      </c>
      <c r="H278" s="8">
        <v>42826</v>
      </c>
      <c r="I278" s="8">
        <v>51205</v>
      </c>
      <c r="J278" s="9">
        <v>26397</v>
      </c>
      <c r="K278" s="8">
        <f>SUM(Table1[[#This Row],[Sales (Q1)]:[Sales (Q4)]])</f>
        <v>172077</v>
      </c>
      <c r="L278" s="2" t="str">
        <f>IF(Table1[[#This Row],[Employee Total Sales]]&gt;=200000,"High Performer",IF(Table1[[#This Row],[Employee Total Sales]]&gt;=180000,"Mid Performer","Low Performer"))</f>
        <v>Low Performer</v>
      </c>
      <c r="M278" s="2" t="str">
        <f>IF(Table1[[#This Row],[Sales Performance]]="High Performer","Eligible for Promotion",IF(Table1[[#This Row],[Sales Performance]]="Low Performer","Review Cause Effect","Room For Growth"))</f>
        <v>Review Cause Effect</v>
      </c>
    </row>
    <row r="279" spans="1:13" x14ac:dyDescent="0.35">
      <c r="A279">
        <v>246</v>
      </c>
      <c r="B279" t="s">
        <v>98</v>
      </c>
      <c r="C279" t="s">
        <v>39</v>
      </c>
      <c r="D279" t="s">
        <v>20</v>
      </c>
      <c r="E279" s="14" t="s">
        <v>1475</v>
      </c>
      <c r="F279" t="s">
        <v>1585</v>
      </c>
      <c r="G279" s="8">
        <v>66185</v>
      </c>
      <c r="H279" s="8">
        <v>34076</v>
      </c>
      <c r="I279" s="8">
        <v>33486</v>
      </c>
      <c r="J279" s="9">
        <v>38241</v>
      </c>
      <c r="K279" s="8">
        <f>SUM(Table1[[#This Row],[Sales (Q1)]:[Sales (Q4)]])</f>
        <v>171988</v>
      </c>
      <c r="L279" s="2" t="str">
        <f>IF(Table1[[#This Row],[Employee Total Sales]]&gt;=200000,"High Performer",IF(Table1[[#This Row],[Employee Total Sales]]&gt;=180000,"Mid Performer","Low Performer"))</f>
        <v>Low Performer</v>
      </c>
      <c r="M279" s="2" t="str">
        <f>IF(Table1[[#This Row],[Sales Performance]]="High Performer","Eligible for Promotion",IF(Table1[[#This Row],[Sales Performance]]="Low Performer","Review Cause Effect","Room For Growth"))</f>
        <v>Review Cause Effect</v>
      </c>
    </row>
    <row r="280" spans="1:13" x14ac:dyDescent="0.35">
      <c r="A280">
        <v>438</v>
      </c>
      <c r="B280" t="s">
        <v>845</v>
      </c>
      <c r="C280" t="s">
        <v>55</v>
      </c>
      <c r="D280" t="s">
        <v>12</v>
      </c>
      <c r="E280" s="14" t="s">
        <v>846</v>
      </c>
      <c r="F280" t="s">
        <v>1586</v>
      </c>
      <c r="G280" s="8">
        <v>22416</v>
      </c>
      <c r="H280" s="8">
        <v>68199</v>
      </c>
      <c r="I280" s="8">
        <v>29279</v>
      </c>
      <c r="J280" s="9">
        <v>52040</v>
      </c>
      <c r="K280" s="8">
        <f>SUM(Table1[[#This Row],[Sales (Q1)]:[Sales (Q4)]])</f>
        <v>171934</v>
      </c>
      <c r="L280" s="2" t="str">
        <f>IF(Table1[[#This Row],[Employee Total Sales]]&gt;=200000,"High Performer",IF(Table1[[#This Row],[Employee Total Sales]]&gt;=180000,"Mid Performer","Low Performer"))</f>
        <v>Low Performer</v>
      </c>
      <c r="M280" s="2" t="str">
        <f>IF(Table1[[#This Row],[Sales Performance]]="High Performer","Eligible for Promotion",IF(Table1[[#This Row],[Sales Performance]]="Low Performer","Review Cause Effect","Room For Growth"))</f>
        <v>Review Cause Effect</v>
      </c>
    </row>
    <row r="281" spans="1:13" x14ac:dyDescent="0.35">
      <c r="A281">
        <v>373</v>
      </c>
      <c r="B281" t="s">
        <v>710</v>
      </c>
      <c r="C281" t="s">
        <v>55</v>
      </c>
      <c r="D281" t="s">
        <v>20</v>
      </c>
      <c r="E281" s="14" t="s">
        <v>711</v>
      </c>
      <c r="F281" t="s">
        <v>1587</v>
      </c>
      <c r="G281" s="8">
        <v>32230</v>
      </c>
      <c r="H281" s="8">
        <v>55626</v>
      </c>
      <c r="I281" s="8">
        <v>42784</v>
      </c>
      <c r="J281" s="9">
        <v>41212</v>
      </c>
      <c r="K281" s="8">
        <f>SUM(Table1[[#This Row],[Sales (Q1)]:[Sales (Q4)]])</f>
        <v>171852</v>
      </c>
      <c r="L281" s="2" t="str">
        <f>IF(Table1[[#This Row],[Employee Total Sales]]&gt;=200000,"High Performer",IF(Table1[[#This Row],[Employee Total Sales]]&gt;=180000,"Mid Performer","Low Performer"))</f>
        <v>Low Performer</v>
      </c>
      <c r="M281" s="2" t="str">
        <f>IF(Table1[[#This Row],[Sales Performance]]="High Performer","Eligible for Promotion",IF(Table1[[#This Row],[Sales Performance]]="Low Performer","Review Cause Effect","Room For Growth"))</f>
        <v>Review Cause Effect</v>
      </c>
    </row>
    <row r="282" spans="1:13" x14ac:dyDescent="0.35">
      <c r="A282">
        <v>363</v>
      </c>
      <c r="B282" t="s">
        <v>688</v>
      </c>
      <c r="C282" t="s">
        <v>39</v>
      </c>
      <c r="D282" t="s">
        <v>12</v>
      </c>
      <c r="E282" s="14" t="s">
        <v>1588</v>
      </c>
      <c r="F282" t="s">
        <v>1589</v>
      </c>
      <c r="G282" s="8">
        <v>37852</v>
      </c>
      <c r="H282" s="8">
        <v>55949</v>
      </c>
      <c r="I282" s="8">
        <v>49153</v>
      </c>
      <c r="J282" s="9">
        <v>28854</v>
      </c>
      <c r="K282" s="8">
        <f>SUM(Table1[[#This Row],[Sales (Q1)]:[Sales (Q4)]])</f>
        <v>171808</v>
      </c>
      <c r="L282" s="2" t="str">
        <f>IF(Table1[[#This Row],[Employee Total Sales]]&gt;=200000,"High Performer",IF(Table1[[#This Row],[Employee Total Sales]]&gt;=180000,"Mid Performer","Low Performer"))</f>
        <v>Low Performer</v>
      </c>
      <c r="M282" s="2" t="str">
        <f>IF(Table1[[#This Row],[Sales Performance]]="High Performer","Eligible for Promotion",IF(Table1[[#This Row],[Sales Performance]]="Low Performer","Review Cause Effect","Room For Growth"))</f>
        <v>Review Cause Effect</v>
      </c>
    </row>
    <row r="283" spans="1:13" x14ac:dyDescent="0.35">
      <c r="A283">
        <v>164</v>
      </c>
      <c r="B283" t="s">
        <v>10</v>
      </c>
      <c r="C283" t="s">
        <v>39</v>
      </c>
      <c r="D283" t="s">
        <v>28</v>
      </c>
      <c r="E283" s="14" t="s">
        <v>202</v>
      </c>
      <c r="F283" t="s">
        <v>1590</v>
      </c>
      <c r="G283" s="8">
        <v>27448</v>
      </c>
      <c r="H283" s="8">
        <v>68867</v>
      </c>
      <c r="I283" s="8">
        <v>24165</v>
      </c>
      <c r="J283" s="9">
        <v>51211</v>
      </c>
      <c r="K283" s="8">
        <f>SUM(Table1[[#This Row],[Sales (Q1)]:[Sales (Q4)]])</f>
        <v>171691</v>
      </c>
      <c r="L283" s="2" t="str">
        <f>IF(Table1[[#This Row],[Employee Total Sales]]&gt;=200000,"High Performer",IF(Table1[[#This Row],[Employee Total Sales]]&gt;=180000,"Mid Performer","Low Performer"))</f>
        <v>Low Performer</v>
      </c>
      <c r="M283" s="2" t="str">
        <f>IF(Table1[[#This Row],[Sales Performance]]="High Performer","Eligible for Promotion",IF(Table1[[#This Row],[Sales Performance]]="Low Performer","Review Cause Effect","Room For Growth"))</f>
        <v>Review Cause Effect</v>
      </c>
    </row>
    <row r="284" spans="1:13" x14ac:dyDescent="0.35">
      <c r="A284">
        <v>516</v>
      </c>
      <c r="B284" t="s">
        <v>101</v>
      </c>
      <c r="C284" t="s">
        <v>111</v>
      </c>
      <c r="D284" t="s">
        <v>20</v>
      </c>
      <c r="E284" s="14" t="s">
        <v>1591</v>
      </c>
      <c r="F284" t="s">
        <v>1592</v>
      </c>
      <c r="G284" s="8">
        <v>48712</v>
      </c>
      <c r="H284" s="8">
        <v>35211</v>
      </c>
      <c r="I284" s="8">
        <v>53268</v>
      </c>
      <c r="J284" s="9">
        <v>34398</v>
      </c>
      <c r="K284" s="8">
        <f>SUM(Table1[[#This Row],[Sales (Q1)]:[Sales (Q4)]])</f>
        <v>171589</v>
      </c>
      <c r="L284" s="2" t="str">
        <f>IF(Table1[[#This Row],[Employee Total Sales]]&gt;=200000,"High Performer",IF(Table1[[#This Row],[Employee Total Sales]]&gt;=180000,"Mid Performer","Low Performer"))</f>
        <v>Low Performer</v>
      </c>
      <c r="M284" s="2" t="str">
        <f>IF(Table1[[#This Row],[Sales Performance]]="High Performer","Eligible for Promotion",IF(Table1[[#This Row],[Sales Performance]]="Low Performer","Review Cause Effect","Room For Growth"))</f>
        <v>Review Cause Effect</v>
      </c>
    </row>
    <row r="285" spans="1:13" x14ac:dyDescent="0.35">
      <c r="A285">
        <v>329</v>
      </c>
      <c r="B285" t="s">
        <v>238</v>
      </c>
      <c r="C285" t="s">
        <v>55</v>
      </c>
      <c r="D285" t="s">
        <v>43</v>
      </c>
      <c r="E285" s="14" t="s">
        <v>611</v>
      </c>
      <c r="F285" t="s">
        <v>1593</v>
      </c>
      <c r="G285" s="8">
        <v>40735</v>
      </c>
      <c r="H285" s="8">
        <v>21106</v>
      </c>
      <c r="I285" s="8">
        <v>45526</v>
      </c>
      <c r="J285" s="9">
        <v>64125</v>
      </c>
      <c r="K285" s="8">
        <f>SUM(Table1[[#This Row],[Sales (Q1)]:[Sales (Q4)]])</f>
        <v>171492</v>
      </c>
      <c r="L285" s="2" t="str">
        <f>IF(Table1[[#This Row],[Employee Total Sales]]&gt;=200000,"High Performer",IF(Table1[[#This Row],[Employee Total Sales]]&gt;=180000,"Mid Performer","Low Performer"))</f>
        <v>Low Performer</v>
      </c>
      <c r="M285" s="2" t="str">
        <f>IF(Table1[[#This Row],[Sales Performance]]="High Performer","Eligible for Promotion",IF(Table1[[#This Row],[Sales Performance]]="Low Performer","Review Cause Effect","Room For Growth"))</f>
        <v>Review Cause Effect</v>
      </c>
    </row>
    <row r="286" spans="1:13" x14ac:dyDescent="0.35">
      <c r="A286">
        <v>388</v>
      </c>
      <c r="B286" t="s">
        <v>336</v>
      </c>
      <c r="C286" t="s">
        <v>11</v>
      </c>
      <c r="D286" t="s">
        <v>28</v>
      </c>
      <c r="E286" s="14" t="s">
        <v>1594</v>
      </c>
      <c r="F286" t="s">
        <v>1595</v>
      </c>
      <c r="G286" s="8">
        <v>24364</v>
      </c>
      <c r="H286" s="8">
        <v>45470</v>
      </c>
      <c r="I286" s="8">
        <v>63278</v>
      </c>
      <c r="J286" s="9">
        <v>37780</v>
      </c>
      <c r="K286" s="8">
        <f>SUM(Table1[[#This Row],[Sales (Q1)]:[Sales (Q4)]])</f>
        <v>170892</v>
      </c>
      <c r="L286" s="2" t="str">
        <f>IF(Table1[[#This Row],[Employee Total Sales]]&gt;=200000,"High Performer",IF(Table1[[#This Row],[Employee Total Sales]]&gt;=180000,"Mid Performer","Low Performer"))</f>
        <v>Low Performer</v>
      </c>
      <c r="M286" s="2" t="str">
        <f>IF(Table1[[#This Row],[Sales Performance]]="High Performer","Eligible for Promotion",IF(Table1[[#This Row],[Sales Performance]]="Low Performer","Review Cause Effect","Room For Growth"))</f>
        <v>Review Cause Effect</v>
      </c>
    </row>
    <row r="287" spans="1:13" x14ac:dyDescent="0.35">
      <c r="A287">
        <v>371</v>
      </c>
      <c r="B287" t="s">
        <v>518</v>
      </c>
      <c r="C287" t="s">
        <v>39</v>
      </c>
      <c r="D287" t="s">
        <v>20</v>
      </c>
      <c r="E287" s="14" t="s">
        <v>706</v>
      </c>
      <c r="F287" t="s">
        <v>1596</v>
      </c>
      <c r="G287" s="8">
        <v>30157</v>
      </c>
      <c r="H287" s="8">
        <v>44339</v>
      </c>
      <c r="I287" s="8">
        <v>70514</v>
      </c>
      <c r="J287" s="9">
        <v>25864</v>
      </c>
      <c r="K287" s="8">
        <f>SUM(Table1[[#This Row],[Sales (Q1)]:[Sales (Q4)]])</f>
        <v>170874</v>
      </c>
      <c r="L287" s="2" t="str">
        <f>IF(Table1[[#This Row],[Employee Total Sales]]&gt;=200000,"High Performer",IF(Table1[[#This Row],[Employee Total Sales]]&gt;=180000,"Mid Performer","Low Performer"))</f>
        <v>Low Performer</v>
      </c>
      <c r="M287" s="2" t="str">
        <f>IF(Table1[[#This Row],[Sales Performance]]="High Performer","Eligible for Promotion",IF(Table1[[#This Row],[Sales Performance]]="Low Performer","Review Cause Effect","Room For Growth"))</f>
        <v>Review Cause Effect</v>
      </c>
    </row>
    <row r="288" spans="1:13" x14ac:dyDescent="0.35">
      <c r="A288">
        <v>139</v>
      </c>
      <c r="B288" t="s">
        <v>131</v>
      </c>
      <c r="C288" t="s">
        <v>11</v>
      </c>
      <c r="D288" t="s">
        <v>20</v>
      </c>
      <c r="E288" s="14" t="s">
        <v>132</v>
      </c>
      <c r="F288" t="s">
        <v>1597</v>
      </c>
      <c r="G288" s="8">
        <v>20927</v>
      </c>
      <c r="H288" s="8">
        <v>66400</v>
      </c>
      <c r="I288" s="8">
        <v>55005</v>
      </c>
      <c r="J288" s="9">
        <v>28295</v>
      </c>
      <c r="K288" s="8">
        <f>SUM(Table1[[#This Row],[Sales (Q1)]:[Sales (Q4)]])</f>
        <v>170627</v>
      </c>
      <c r="L288" s="2" t="str">
        <f>IF(Table1[[#This Row],[Employee Total Sales]]&gt;=200000,"High Performer",IF(Table1[[#This Row],[Employee Total Sales]]&gt;=180000,"Mid Performer","Low Performer"))</f>
        <v>Low Performer</v>
      </c>
      <c r="M288" s="2" t="str">
        <f>IF(Table1[[#This Row],[Sales Performance]]="High Performer","Eligible for Promotion",IF(Table1[[#This Row],[Sales Performance]]="Low Performer","Review Cause Effect","Room For Growth"))</f>
        <v>Review Cause Effect</v>
      </c>
    </row>
    <row r="289" spans="1:13" x14ac:dyDescent="0.35">
      <c r="A289">
        <v>412</v>
      </c>
      <c r="B289" t="s">
        <v>789</v>
      </c>
      <c r="C289" t="s">
        <v>39</v>
      </c>
      <c r="D289" t="s">
        <v>12</v>
      </c>
      <c r="E289" s="14" t="s">
        <v>790</v>
      </c>
      <c r="F289" t="s">
        <v>1598</v>
      </c>
      <c r="G289" s="8">
        <v>56675</v>
      </c>
      <c r="H289" s="8">
        <v>53689</v>
      </c>
      <c r="I289" s="8">
        <v>26709</v>
      </c>
      <c r="J289" s="9">
        <v>33538</v>
      </c>
      <c r="K289" s="8">
        <f>SUM(Table1[[#This Row],[Sales (Q1)]:[Sales (Q4)]])</f>
        <v>170611</v>
      </c>
      <c r="L289" s="2" t="str">
        <f>IF(Table1[[#This Row],[Employee Total Sales]]&gt;=200000,"High Performer",IF(Table1[[#This Row],[Employee Total Sales]]&gt;=180000,"Mid Performer","Low Performer"))</f>
        <v>Low Performer</v>
      </c>
      <c r="M289" s="2" t="str">
        <f>IF(Table1[[#This Row],[Sales Performance]]="High Performer","Eligible for Promotion",IF(Table1[[#This Row],[Sales Performance]]="Low Performer","Review Cause Effect","Room For Growth"))</f>
        <v>Review Cause Effect</v>
      </c>
    </row>
    <row r="290" spans="1:13" x14ac:dyDescent="0.35">
      <c r="A290">
        <v>584</v>
      </c>
      <c r="B290" t="s">
        <v>591</v>
      </c>
      <c r="C290" t="s">
        <v>111</v>
      </c>
      <c r="D290" t="s">
        <v>20</v>
      </c>
      <c r="E290" s="14" t="s">
        <v>1483</v>
      </c>
      <c r="F290" t="s">
        <v>1131</v>
      </c>
      <c r="G290" s="8">
        <v>20273</v>
      </c>
      <c r="H290" s="8">
        <v>20841</v>
      </c>
      <c r="I290" s="8">
        <v>76469</v>
      </c>
      <c r="J290" s="9">
        <v>52813</v>
      </c>
      <c r="K290" s="8">
        <f>SUM(Table1[[#This Row],[Sales (Q1)]:[Sales (Q4)]])</f>
        <v>170396</v>
      </c>
      <c r="L290" s="2" t="str">
        <f>IF(Table1[[#This Row],[Employee Total Sales]]&gt;=200000,"High Performer",IF(Table1[[#This Row],[Employee Total Sales]]&gt;=180000,"Mid Performer","Low Performer"))</f>
        <v>Low Performer</v>
      </c>
      <c r="M290" s="2" t="str">
        <f>IF(Table1[[#This Row],[Sales Performance]]="High Performer","Eligible for Promotion",IF(Table1[[#This Row],[Sales Performance]]="Low Performer","Review Cause Effect","Room For Growth"))</f>
        <v>Review Cause Effect</v>
      </c>
    </row>
    <row r="291" spans="1:13" x14ac:dyDescent="0.35">
      <c r="A291">
        <v>165</v>
      </c>
      <c r="B291" t="s">
        <v>204</v>
      </c>
      <c r="C291" t="s">
        <v>16</v>
      </c>
      <c r="D291" t="s">
        <v>43</v>
      </c>
      <c r="E291" s="14" t="s">
        <v>980</v>
      </c>
      <c r="F291" t="s">
        <v>1599</v>
      </c>
      <c r="G291" s="8">
        <v>24816</v>
      </c>
      <c r="H291" s="8">
        <v>78934</v>
      </c>
      <c r="I291" s="8">
        <v>25294</v>
      </c>
      <c r="J291" s="9">
        <v>41109</v>
      </c>
      <c r="K291" s="8">
        <f>SUM(Table1[[#This Row],[Sales (Q1)]:[Sales (Q4)]])</f>
        <v>170153</v>
      </c>
      <c r="L291" s="2" t="str">
        <f>IF(Table1[[#This Row],[Employee Total Sales]]&gt;=200000,"High Performer",IF(Table1[[#This Row],[Employee Total Sales]]&gt;=180000,"Mid Performer","Low Performer"))</f>
        <v>Low Performer</v>
      </c>
      <c r="M291" s="2" t="str">
        <f>IF(Table1[[#This Row],[Sales Performance]]="High Performer","Eligible for Promotion",IF(Table1[[#This Row],[Sales Performance]]="Low Performer","Review Cause Effect","Room For Growth"))</f>
        <v>Review Cause Effect</v>
      </c>
    </row>
    <row r="292" spans="1:13" x14ac:dyDescent="0.35">
      <c r="A292">
        <v>258</v>
      </c>
      <c r="B292" t="s">
        <v>443</v>
      </c>
      <c r="C292" t="s">
        <v>16</v>
      </c>
      <c r="D292" t="s">
        <v>28</v>
      </c>
      <c r="E292" s="14" t="s">
        <v>444</v>
      </c>
      <c r="F292" t="s">
        <v>1600</v>
      </c>
      <c r="G292" s="8">
        <v>65484</v>
      </c>
      <c r="H292" s="8">
        <v>28662</v>
      </c>
      <c r="I292" s="8">
        <v>51306</v>
      </c>
      <c r="J292" s="9">
        <v>24641</v>
      </c>
      <c r="K292" s="8">
        <f>SUM(Table1[[#This Row],[Sales (Q1)]:[Sales (Q4)]])</f>
        <v>170093</v>
      </c>
      <c r="L292" s="2" t="str">
        <f>IF(Table1[[#This Row],[Employee Total Sales]]&gt;=200000,"High Performer",IF(Table1[[#This Row],[Employee Total Sales]]&gt;=180000,"Mid Performer","Low Performer"))</f>
        <v>Low Performer</v>
      </c>
      <c r="M292" s="2" t="str">
        <f>IF(Table1[[#This Row],[Sales Performance]]="High Performer","Eligible for Promotion",IF(Table1[[#This Row],[Sales Performance]]="Low Performer","Review Cause Effect","Room For Growth"))</f>
        <v>Review Cause Effect</v>
      </c>
    </row>
    <row r="293" spans="1:13" x14ac:dyDescent="0.35">
      <c r="A293">
        <v>131</v>
      </c>
      <c r="B293" t="s">
        <v>107</v>
      </c>
      <c r="C293" t="s">
        <v>27</v>
      </c>
      <c r="D293" t="s">
        <v>20</v>
      </c>
      <c r="E293" s="14" t="s">
        <v>108</v>
      </c>
      <c r="F293" t="s">
        <v>1601</v>
      </c>
      <c r="G293" s="8">
        <v>44844</v>
      </c>
      <c r="H293" s="8">
        <v>41453</v>
      </c>
      <c r="I293" s="8">
        <v>33871</v>
      </c>
      <c r="J293" s="9">
        <v>49799</v>
      </c>
      <c r="K293" s="8">
        <f>SUM(Table1[[#This Row],[Sales (Q1)]:[Sales (Q4)]])</f>
        <v>169967</v>
      </c>
      <c r="L293" s="2" t="str">
        <f>IF(Table1[[#This Row],[Employee Total Sales]]&gt;=200000,"High Performer",IF(Table1[[#This Row],[Employee Total Sales]]&gt;=180000,"Mid Performer","Low Performer"))</f>
        <v>Low Performer</v>
      </c>
      <c r="M293" s="2" t="str">
        <f>IF(Table1[[#This Row],[Sales Performance]]="High Performer","Eligible for Promotion",IF(Table1[[#This Row],[Sales Performance]]="Low Performer","Review Cause Effect","Room For Growth"))</f>
        <v>Review Cause Effect</v>
      </c>
    </row>
    <row r="294" spans="1:13" x14ac:dyDescent="0.35">
      <c r="A294">
        <v>567</v>
      </c>
      <c r="B294" t="s">
        <v>305</v>
      </c>
      <c r="C294" t="s">
        <v>39</v>
      </c>
      <c r="D294" t="s">
        <v>43</v>
      </c>
      <c r="E294" s="14" t="s">
        <v>1047</v>
      </c>
      <c r="F294" t="s">
        <v>1602</v>
      </c>
      <c r="G294" s="8">
        <v>20723</v>
      </c>
      <c r="H294" s="8">
        <v>31260</v>
      </c>
      <c r="I294" s="8">
        <v>41415</v>
      </c>
      <c r="J294" s="9">
        <v>76341</v>
      </c>
      <c r="K294" s="8">
        <f>SUM(Table1[[#This Row],[Sales (Q1)]:[Sales (Q4)]])</f>
        <v>169739</v>
      </c>
      <c r="L294" s="2" t="str">
        <f>IF(Table1[[#This Row],[Employee Total Sales]]&gt;=200000,"High Performer",IF(Table1[[#This Row],[Employee Total Sales]]&gt;=180000,"Mid Performer","Low Performer"))</f>
        <v>Low Performer</v>
      </c>
      <c r="M294" s="2" t="str">
        <f>IF(Table1[[#This Row],[Sales Performance]]="High Performer","Eligible for Promotion",IF(Table1[[#This Row],[Sales Performance]]="Low Performer","Review Cause Effect","Room For Growth"))</f>
        <v>Review Cause Effect</v>
      </c>
    </row>
    <row r="295" spans="1:13" x14ac:dyDescent="0.35">
      <c r="A295">
        <v>184</v>
      </c>
      <c r="B295" t="s">
        <v>193</v>
      </c>
      <c r="C295" t="s">
        <v>111</v>
      </c>
      <c r="D295" t="s">
        <v>28</v>
      </c>
      <c r="E295" s="14" t="s">
        <v>254</v>
      </c>
      <c r="F295" t="s">
        <v>1603</v>
      </c>
      <c r="G295" s="8">
        <v>47190</v>
      </c>
      <c r="H295" s="8">
        <v>23490</v>
      </c>
      <c r="I295" s="8">
        <v>45982</v>
      </c>
      <c r="J295" s="9">
        <v>52899</v>
      </c>
      <c r="K295" s="8">
        <f>SUM(Table1[[#This Row],[Sales (Q1)]:[Sales (Q4)]])</f>
        <v>169561</v>
      </c>
      <c r="L295" s="2" t="str">
        <f>IF(Table1[[#This Row],[Employee Total Sales]]&gt;=200000,"High Performer",IF(Table1[[#This Row],[Employee Total Sales]]&gt;=180000,"Mid Performer","Low Performer"))</f>
        <v>Low Performer</v>
      </c>
      <c r="M295" s="2" t="str">
        <f>IF(Table1[[#This Row],[Sales Performance]]="High Performer","Eligible for Promotion",IF(Table1[[#This Row],[Sales Performance]]="Low Performer","Review Cause Effect","Room For Growth"))</f>
        <v>Review Cause Effect</v>
      </c>
    </row>
    <row r="296" spans="1:13" x14ac:dyDescent="0.35">
      <c r="A296">
        <v>307</v>
      </c>
      <c r="B296" t="s">
        <v>212</v>
      </c>
      <c r="C296" t="s">
        <v>11</v>
      </c>
      <c r="D296" t="s">
        <v>28</v>
      </c>
      <c r="E296" s="14" t="s">
        <v>1117</v>
      </c>
      <c r="F296" t="s">
        <v>1604</v>
      </c>
      <c r="G296" s="8">
        <v>47313</v>
      </c>
      <c r="H296" s="8">
        <v>49118</v>
      </c>
      <c r="I296" s="8">
        <v>44920</v>
      </c>
      <c r="J296" s="9">
        <v>28099</v>
      </c>
      <c r="K296" s="8">
        <f>SUM(Table1[[#This Row],[Sales (Q1)]:[Sales (Q4)]])</f>
        <v>169450</v>
      </c>
      <c r="L296" s="2" t="str">
        <f>IF(Table1[[#This Row],[Employee Total Sales]]&gt;=200000,"High Performer",IF(Table1[[#This Row],[Employee Total Sales]]&gt;=180000,"Mid Performer","Low Performer"))</f>
        <v>Low Performer</v>
      </c>
      <c r="M296" s="2" t="str">
        <f>IF(Table1[[#This Row],[Sales Performance]]="High Performer","Eligible for Promotion",IF(Table1[[#This Row],[Sales Performance]]="Low Performer","Review Cause Effect","Room For Growth"))</f>
        <v>Review Cause Effect</v>
      </c>
    </row>
    <row r="297" spans="1:13" x14ac:dyDescent="0.35">
      <c r="A297">
        <v>336</v>
      </c>
      <c r="B297" t="s">
        <v>117</v>
      </c>
      <c r="C297" t="s">
        <v>55</v>
      </c>
      <c r="D297" t="s">
        <v>12</v>
      </c>
      <c r="E297" s="14" t="s">
        <v>1730</v>
      </c>
      <c r="F297" t="s">
        <v>1605</v>
      </c>
      <c r="G297" s="8">
        <v>53450</v>
      </c>
      <c r="H297" s="8">
        <v>25934</v>
      </c>
      <c r="I297" s="8">
        <v>46003</v>
      </c>
      <c r="J297" s="9">
        <v>43846</v>
      </c>
      <c r="K297" s="8">
        <f>SUM(Table1[[#This Row],[Sales (Q1)]:[Sales (Q4)]])</f>
        <v>169233</v>
      </c>
      <c r="L297" s="2" t="str">
        <f>IF(Table1[[#This Row],[Employee Total Sales]]&gt;=200000,"High Performer",IF(Table1[[#This Row],[Employee Total Sales]]&gt;=180000,"Mid Performer","Low Performer"))</f>
        <v>Low Performer</v>
      </c>
      <c r="M297" s="2" t="str">
        <f>IF(Table1[[#This Row],[Sales Performance]]="High Performer","Eligible for Promotion",IF(Table1[[#This Row],[Sales Performance]]="Low Performer","Review Cause Effect","Room For Growth"))</f>
        <v>Review Cause Effect</v>
      </c>
    </row>
    <row r="298" spans="1:13" x14ac:dyDescent="0.35">
      <c r="A298">
        <v>464</v>
      </c>
      <c r="B298" t="s">
        <v>314</v>
      </c>
      <c r="C298" t="s">
        <v>39</v>
      </c>
      <c r="D298" t="s">
        <v>43</v>
      </c>
      <c r="E298" s="14" t="s">
        <v>1606</v>
      </c>
      <c r="F298" t="s">
        <v>1607</v>
      </c>
      <c r="G298" s="8">
        <v>30094</v>
      </c>
      <c r="H298" s="8">
        <v>37214</v>
      </c>
      <c r="I298" s="8">
        <v>39671</v>
      </c>
      <c r="J298" s="9">
        <v>61979</v>
      </c>
      <c r="K298" s="8">
        <f>SUM(Table1[[#This Row],[Sales (Q1)]:[Sales (Q4)]])</f>
        <v>168958</v>
      </c>
      <c r="L298" s="2" t="str">
        <f>IF(Table1[[#This Row],[Employee Total Sales]]&gt;=200000,"High Performer",IF(Table1[[#This Row],[Employee Total Sales]]&gt;=180000,"Mid Performer","Low Performer"))</f>
        <v>Low Performer</v>
      </c>
      <c r="M298" s="2" t="str">
        <f>IF(Table1[[#This Row],[Sales Performance]]="High Performer","Eligible for Promotion",IF(Table1[[#This Row],[Sales Performance]]="Low Performer","Review Cause Effect","Room For Growth"))</f>
        <v>Review Cause Effect</v>
      </c>
    </row>
    <row r="299" spans="1:13" x14ac:dyDescent="0.35">
      <c r="A299">
        <v>175</v>
      </c>
      <c r="B299" t="s">
        <v>229</v>
      </c>
      <c r="C299" t="s">
        <v>55</v>
      </c>
      <c r="D299" t="s">
        <v>20</v>
      </c>
      <c r="E299" s="14" t="s">
        <v>230</v>
      </c>
      <c r="F299" t="s">
        <v>231</v>
      </c>
      <c r="G299" s="8">
        <v>41827</v>
      </c>
      <c r="H299" s="8">
        <v>71060</v>
      </c>
      <c r="I299" s="8">
        <v>31018</v>
      </c>
      <c r="J299" s="9">
        <v>25005</v>
      </c>
      <c r="K299" s="8">
        <f>SUM(Table1[[#This Row],[Sales (Q1)]:[Sales (Q4)]])</f>
        <v>168910</v>
      </c>
      <c r="L299" s="2" t="str">
        <f>IF(Table1[[#This Row],[Employee Total Sales]]&gt;=200000,"High Performer",IF(Table1[[#This Row],[Employee Total Sales]]&gt;=180000,"Mid Performer","Low Performer"))</f>
        <v>Low Performer</v>
      </c>
      <c r="M299" s="2" t="str">
        <f>IF(Table1[[#This Row],[Sales Performance]]="High Performer","Eligible for Promotion",IF(Table1[[#This Row],[Sales Performance]]="Low Performer","Review Cause Effect","Room For Growth"))</f>
        <v>Review Cause Effect</v>
      </c>
    </row>
    <row r="300" spans="1:13" x14ac:dyDescent="0.35">
      <c r="A300">
        <v>469</v>
      </c>
      <c r="B300" t="s">
        <v>467</v>
      </c>
      <c r="C300" t="s">
        <v>111</v>
      </c>
      <c r="D300" t="s">
        <v>12</v>
      </c>
      <c r="E300" s="14" t="s">
        <v>468</v>
      </c>
      <c r="F300" t="s">
        <v>912</v>
      </c>
      <c r="G300" s="8">
        <v>65091</v>
      </c>
      <c r="H300" s="8">
        <v>34848</v>
      </c>
      <c r="I300" s="8">
        <v>40147</v>
      </c>
      <c r="J300" s="9">
        <v>28214</v>
      </c>
      <c r="K300" s="8">
        <f>SUM(Table1[[#This Row],[Sales (Q1)]:[Sales (Q4)]])</f>
        <v>168300</v>
      </c>
      <c r="L300" s="2" t="str">
        <f>IF(Table1[[#This Row],[Employee Total Sales]]&gt;=200000,"High Performer",IF(Table1[[#This Row],[Employee Total Sales]]&gt;=180000,"Mid Performer","Low Performer"))</f>
        <v>Low Performer</v>
      </c>
      <c r="M300" s="2" t="str">
        <f>IF(Table1[[#This Row],[Sales Performance]]="High Performer","Eligible for Promotion",IF(Table1[[#This Row],[Sales Performance]]="Low Performer","Review Cause Effect","Room For Growth"))</f>
        <v>Review Cause Effect</v>
      </c>
    </row>
    <row r="301" spans="1:13" x14ac:dyDescent="0.35">
      <c r="A301">
        <v>168</v>
      </c>
      <c r="B301" t="s">
        <v>212</v>
      </c>
      <c r="C301" t="s">
        <v>27</v>
      </c>
      <c r="D301" t="s">
        <v>43</v>
      </c>
      <c r="E301" s="14" t="s">
        <v>1731</v>
      </c>
      <c r="F301" t="s">
        <v>1608</v>
      </c>
      <c r="G301" s="8">
        <v>40476</v>
      </c>
      <c r="H301" s="8">
        <v>43045</v>
      </c>
      <c r="I301" s="8">
        <v>26789</v>
      </c>
      <c r="J301" s="9">
        <v>57874</v>
      </c>
      <c r="K301" s="8">
        <f>SUM(Table1[[#This Row],[Sales (Q1)]:[Sales (Q4)]])</f>
        <v>168184</v>
      </c>
      <c r="L301" s="2" t="str">
        <f>IF(Table1[[#This Row],[Employee Total Sales]]&gt;=200000,"High Performer",IF(Table1[[#This Row],[Employee Total Sales]]&gt;=180000,"Mid Performer","Low Performer"))</f>
        <v>Low Performer</v>
      </c>
      <c r="M301" s="2" t="str">
        <f>IF(Table1[[#This Row],[Sales Performance]]="High Performer","Eligible for Promotion",IF(Table1[[#This Row],[Sales Performance]]="Low Performer","Review Cause Effect","Room For Growth"))</f>
        <v>Review Cause Effect</v>
      </c>
    </row>
    <row r="302" spans="1:13" x14ac:dyDescent="0.35">
      <c r="A302">
        <v>375</v>
      </c>
      <c r="B302" t="s">
        <v>101</v>
      </c>
      <c r="C302" t="s">
        <v>11</v>
      </c>
      <c r="D302" t="s">
        <v>20</v>
      </c>
      <c r="E302" s="14" t="s">
        <v>102</v>
      </c>
      <c r="F302" t="s">
        <v>1609</v>
      </c>
      <c r="G302" s="8">
        <v>26308</v>
      </c>
      <c r="H302" s="8">
        <v>54288</v>
      </c>
      <c r="I302" s="8">
        <v>63181</v>
      </c>
      <c r="J302" s="9">
        <v>24369</v>
      </c>
      <c r="K302" s="8">
        <f>SUM(Table1[[#This Row],[Sales (Q1)]:[Sales (Q4)]])</f>
        <v>168146</v>
      </c>
      <c r="L302" s="2" t="str">
        <f>IF(Table1[[#This Row],[Employee Total Sales]]&gt;=200000,"High Performer",IF(Table1[[#This Row],[Employee Total Sales]]&gt;=180000,"Mid Performer","Low Performer"))</f>
        <v>Low Performer</v>
      </c>
      <c r="M302" s="2" t="str">
        <f>IF(Table1[[#This Row],[Sales Performance]]="High Performer","Eligible for Promotion",IF(Table1[[#This Row],[Sales Performance]]="Low Performer","Review Cause Effect","Room For Growth"))</f>
        <v>Review Cause Effect</v>
      </c>
    </row>
    <row r="303" spans="1:13" x14ac:dyDescent="0.35">
      <c r="A303">
        <v>186</v>
      </c>
      <c r="B303" t="s">
        <v>259</v>
      </c>
      <c r="C303" t="s">
        <v>55</v>
      </c>
      <c r="D303" t="s">
        <v>12</v>
      </c>
      <c r="E303" s="14" t="s">
        <v>260</v>
      </c>
      <c r="F303" t="s">
        <v>1610</v>
      </c>
      <c r="G303" s="8">
        <v>23129</v>
      </c>
      <c r="H303" s="8">
        <v>35626</v>
      </c>
      <c r="I303" s="8">
        <v>47513</v>
      </c>
      <c r="J303" s="9">
        <v>61874</v>
      </c>
      <c r="K303" s="8">
        <f>SUM(Table1[[#This Row],[Sales (Q1)]:[Sales (Q4)]])</f>
        <v>168142</v>
      </c>
      <c r="L303" s="2" t="str">
        <f>IF(Table1[[#This Row],[Employee Total Sales]]&gt;=200000,"High Performer",IF(Table1[[#This Row],[Employee Total Sales]]&gt;=180000,"Mid Performer","Low Performer"))</f>
        <v>Low Performer</v>
      </c>
      <c r="M303" s="2" t="str">
        <f>IF(Table1[[#This Row],[Sales Performance]]="High Performer","Eligible for Promotion",IF(Table1[[#This Row],[Sales Performance]]="Low Performer","Review Cause Effect","Room For Growth"))</f>
        <v>Review Cause Effect</v>
      </c>
    </row>
    <row r="304" spans="1:13" x14ac:dyDescent="0.35">
      <c r="A304">
        <v>358</v>
      </c>
      <c r="B304" t="s">
        <v>603</v>
      </c>
      <c r="C304" t="s">
        <v>16</v>
      </c>
      <c r="D304" t="s">
        <v>43</v>
      </c>
      <c r="E304" s="14" t="s">
        <v>604</v>
      </c>
      <c r="F304" t="s">
        <v>677</v>
      </c>
      <c r="G304" s="8">
        <v>23934</v>
      </c>
      <c r="H304" s="8">
        <v>34120</v>
      </c>
      <c r="I304" s="8">
        <v>73334</v>
      </c>
      <c r="J304" s="9">
        <v>36665</v>
      </c>
      <c r="K304" s="8">
        <f>SUM(Table1[[#This Row],[Sales (Q1)]:[Sales (Q4)]])</f>
        <v>168053</v>
      </c>
      <c r="L304" s="2" t="str">
        <f>IF(Table1[[#This Row],[Employee Total Sales]]&gt;=200000,"High Performer",IF(Table1[[#This Row],[Employee Total Sales]]&gt;=180000,"Mid Performer","Low Performer"))</f>
        <v>Low Performer</v>
      </c>
      <c r="M304" s="2" t="str">
        <f>IF(Table1[[#This Row],[Sales Performance]]="High Performer","Eligible for Promotion",IF(Table1[[#This Row],[Sales Performance]]="Low Performer","Review Cause Effect","Room For Growth"))</f>
        <v>Review Cause Effect</v>
      </c>
    </row>
    <row r="305" spans="1:13" x14ac:dyDescent="0.35">
      <c r="A305">
        <v>509</v>
      </c>
      <c r="B305" t="s">
        <v>735</v>
      </c>
      <c r="C305" t="s">
        <v>32</v>
      </c>
      <c r="D305" t="s">
        <v>28</v>
      </c>
      <c r="E305" s="14" t="s">
        <v>988</v>
      </c>
      <c r="F305" t="s">
        <v>1611</v>
      </c>
      <c r="G305" s="8">
        <v>48031</v>
      </c>
      <c r="H305" s="8">
        <v>39364</v>
      </c>
      <c r="I305" s="8">
        <v>57259</v>
      </c>
      <c r="J305" s="9">
        <v>23127</v>
      </c>
      <c r="K305" s="8">
        <f>SUM(Table1[[#This Row],[Sales (Q1)]:[Sales (Q4)]])</f>
        <v>167781</v>
      </c>
      <c r="L305" s="2" t="str">
        <f>IF(Table1[[#This Row],[Employee Total Sales]]&gt;=200000,"High Performer",IF(Table1[[#This Row],[Employee Total Sales]]&gt;=180000,"Mid Performer","Low Performer"))</f>
        <v>Low Performer</v>
      </c>
      <c r="M305" s="2" t="str">
        <f>IF(Table1[[#This Row],[Sales Performance]]="High Performer","Eligible for Promotion",IF(Table1[[#This Row],[Sales Performance]]="Low Performer","Review Cause Effect","Room For Growth"))</f>
        <v>Review Cause Effect</v>
      </c>
    </row>
    <row r="306" spans="1:13" x14ac:dyDescent="0.35">
      <c r="A306">
        <v>130</v>
      </c>
      <c r="B306" t="s">
        <v>104</v>
      </c>
      <c r="C306" t="s">
        <v>16</v>
      </c>
      <c r="D306" t="s">
        <v>28</v>
      </c>
      <c r="E306" s="14" t="s">
        <v>105</v>
      </c>
      <c r="F306" t="s">
        <v>1612</v>
      </c>
      <c r="G306" s="8">
        <v>48562</v>
      </c>
      <c r="H306" s="8">
        <v>51827</v>
      </c>
      <c r="I306" s="8">
        <v>21902</v>
      </c>
      <c r="J306" s="9">
        <v>45484</v>
      </c>
      <c r="K306" s="8">
        <f>SUM(Table1[[#This Row],[Sales (Q1)]:[Sales (Q4)]])</f>
        <v>167775</v>
      </c>
      <c r="L306" s="2" t="str">
        <f>IF(Table1[[#This Row],[Employee Total Sales]]&gt;=200000,"High Performer",IF(Table1[[#This Row],[Employee Total Sales]]&gt;=180000,"Mid Performer","Low Performer"))</f>
        <v>Low Performer</v>
      </c>
      <c r="M306" s="2" t="str">
        <f>IF(Table1[[#This Row],[Sales Performance]]="High Performer","Eligible for Promotion",IF(Table1[[#This Row],[Sales Performance]]="Low Performer","Review Cause Effect","Room For Growth"))</f>
        <v>Review Cause Effect</v>
      </c>
    </row>
    <row r="307" spans="1:13" x14ac:dyDescent="0.35">
      <c r="A307">
        <v>490</v>
      </c>
      <c r="B307" t="s">
        <v>562</v>
      </c>
      <c r="C307" t="s">
        <v>55</v>
      </c>
      <c r="D307" t="s">
        <v>43</v>
      </c>
      <c r="E307" s="14" t="s">
        <v>563</v>
      </c>
      <c r="F307" t="s">
        <v>955</v>
      </c>
      <c r="G307" s="8">
        <v>34031</v>
      </c>
      <c r="H307" s="8">
        <v>37992</v>
      </c>
      <c r="I307" s="8">
        <v>48801</v>
      </c>
      <c r="J307" s="9">
        <v>46763</v>
      </c>
      <c r="K307" s="8">
        <f>SUM(Table1[[#This Row],[Sales (Q1)]:[Sales (Q4)]])</f>
        <v>167587</v>
      </c>
      <c r="L307" s="2" t="str">
        <f>IF(Table1[[#This Row],[Employee Total Sales]]&gt;=200000,"High Performer",IF(Table1[[#This Row],[Employee Total Sales]]&gt;=180000,"Mid Performer","Low Performer"))</f>
        <v>Low Performer</v>
      </c>
      <c r="M307" s="2" t="str">
        <f>IF(Table1[[#This Row],[Sales Performance]]="High Performer","Eligible for Promotion",IF(Table1[[#This Row],[Sales Performance]]="Low Performer","Review Cause Effect","Room For Growth"))</f>
        <v>Review Cause Effect</v>
      </c>
    </row>
    <row r="308" spans="1:13" x14ac:dyDescent="0.35">
      <c r="A308">
        <v>497</v>
      </c>
      <c r="B308" t="s">
        <v>530</v>
      </c>
      <c r="C308" t="s">
        <v>32</v>
      </c>
      <c r="D308" t="s">
        <v>20</v>
      </c>
      <c r="E308" s="14" t="s">
        <v>1732</v>
      </c>
      <c r="F308" t="s">
        <v>1613</v>
      </c>
      <c r="G308" s="8">
        <v>34711</v>
      </c>
      <c r="H308" s="8">
        <v>66764</v>
      </c>
      <c r="I308" s="8">
        <v>33313</v>
      </c>
      <c r="J308" s="9">
        <v>32487</v>
      </c>
      <c r="K308" s="8">
        <f>SUM(Table1[[#This Row],[Sales (Q1)]:[Sales (Q4)]])</f>
        <v>167275</v>
      </c>
      <c r="L308" s="2" t="str">
        <f>IF(Table1[[#This Row],[Employee Total Sales]]&gt;=200000,"High Performer",IF(Table1[[#This Row],[Employee Total Sales]]&gt;=180000,"Mid Performer","Low Performer"))</f>
        <v>Low Performer</v>
      </c>
      <c r="M308" s="2" t="str">
        <f>IF(Table1[[#This Row],[Sales Performance]]="High Performer","Eligible for Promotion",IF(Table1[[#This Row],[Sales Performance]]="Low Performer","Review Cause Effect","Room For Growth"))</f>
        <v>Review Cause Effect</v>
      </c>
    </row>
    <row r="309" spans="1:13" x14ac:dyDescent="0.35">
      <c r="A309">
        <v>531</v>
      </c>
      <c r="B309" t="s">
        <v>543</v>
      </c>
      <c r="C309" t="s">
        <v>16</v>
      </c>
      <c r="D309" t="s">
        <v>28</v>
      </c>
      <c r="E309" s="14" t="s">
        <v>1034</v>
      </c>
      <c r="F309" t="s">
        <v>1614</v>
      </c>
      <c r="G309" s="8">
        <v>42849</v>
      </c>
      <c r="H309" s="8">
        <v>24427</v>
      </c>
      <c r="I309" s="8">
        <v>77044</v>
      </c>
      <c r="J309" s="9">
        <v>22928</v>
      </c>
      <c r="K309" s="8">
        <f>SUM(Table1[[#This Row],[Sales (Q1)]:[Sales (Q4)]])</f>
        <v>167248</v>
      </c>
      <c r="L309" s="2" t="str">
        <f>IF(Table1[[#This Row],[Employee Total Sales]]&gt;=200000,"High Performer",IF(Table1[[#This Row],[Employee Total Sales]]&gt;=180000,"Mid Performer","Low Performer"))</f>
        <v>Low Performer</v>
      </c>
      <c r="M309" s="2" t="str">
        <f>IF(Table1[[#This Row],[Sales Performance]]="High Performer","Eligible for Promotion",IF(Table1[[#This Row],[Sales Performance]]="Low Performer","Review Cause Effect","Room For Growth"))</f>
        <v>Review Cause Effect</v>
      </c>
    </row>
    <row r="310" spans="1:13" x14ac:dyDescent="0.35">
      <c r="A310">
        <v>580</v>
      </c>
      <c r="B310" t="s">
        <v>271</v>
      </c>
      <c r="C310" t="s">
        <v>39</v>
      </c>
      <c r="D310" t="s">
        <v>20</v>
      </c>
      <c r="E310" s="14" t="s">
        <v>272</v>
      </c>
      <c r="F310" t="s">
        <v>1615</v>
      </c>
      <c r="G310" s="8">
        <v>42461</v>
      </c>
      <c r="H310" s="8">
        <v>35876</v>
      </c>
      <c r="I310" s="8">
        <v>33488</v>
      </c>
      <c r="J310" s="9">
        <v>55344</v>
      </c>
      <c r="K310" s="8">
        <f>SUM(Table1[[#This Row],[Sales (Q1)]:[Sales (Q4)]])</f>
        <v>167169</v>
      </c>
      <c r="L310" s="2" t="str">
        <f>IF(Table1[[#This Row],[Employee Total Sales]]&gt;=200000,"High Performer",IF(Table1[[#This Row],[Employee Total Sales]]&gt;=180000,"Mid Performer","Low Performer"))</f>
        <v>Low Performer</v>
      </c>
      <c r="M310" s="2" t="str">
        <f>IF(Table1[[#This Row],[Sales Performance]]="High Performer","Eligible for Promotion",IF(Table1[[#This Row],[Sales Performance]]="Low Performer","Review Cause Effect","Room For Growth"))</f>
        <v>Review Cause Effect</v>
      </c>
    </row>
    <row r="311" spans="1:13" x14ac:dyDescent="0.35">
      <c r="A311">
        <v>212</v>
      </c>
      <c r="B311" t="s">
        <v>333</v>
      </c>
      <c r="C311" t="s">
        <v>39</v>
      </c>
      <c r="D311" t="s">
        <v>20</v>
      </c>
      <c r="E311" s="14" t="s">
        <v>334</v>
      </c>
      <c r="F311" t="s">
        <v>1616</v>
      </c>
      <c r="G311" s="8">
        <v>59503</v>
      </c>
      <c r="H311" s="8">
        <v>27032</v>
      </c>
      <c r="I311" s="8">
        <v>41957</v>
      </c>
      <c r="J311" s="9">
        <v>38649</v>
      </c>
      <c r="K311" s="8">
        <f>SUM(Table1[[#This Row],[Sales (Q1)]:[Sales (Q4)]])</f>
        <v>167141</v>
      </c>
      <c r="L311" s="2" t="str">
        <f>IF(Table1[[#This Row],[Employee Total Sales]]&gt;=200000,"High Performer",IF(Table1[[#This Row],[Employee Total Sales]]&gt;=180000,"Mid Performer","Low Performer"))</f>
        <v>Low Performer</v>
      </c>
      <c r="M311" s="2" t="str">
        <f>IF(Table1[[#This Row],[Sales Performance]]="High Performer","Eligible for Promotion",IF(Table1[[#This Row],[Sales Performance]]="Low Performer","Review Cause Effect","Room For Growth"))</f>
        <v>Review Cause Effect</v>
      </c>
    </row>
    <row r="312" spans="1:13" x14ac:dyDescent="0.35">
      <c r="A312">
        <v>546</v>
      </c>
      <c r="B312" t="s">
        <v>1061</v>
      </c>
      <c r="C312" t="s">
        <v>16</v>
      </c>
      <c r="D312" t="s">
        <v>20</v>
      </c>
      <c r="E312" s="14" t="s">
        <v>1062</v>
      </c>
      <c r="F312" t="s">
        <v>1063</v>
      </c>
      <c r="G312" s="8">
        <v>41576</v>
      </c>
      <c r="H312" s="8">
        <v>40368</v>
      </c>
      <c r="I312" s="8">
        <v>24118</v>
      </c>
      <c r="J312" s="9">
        <v>61025</v>
      </c>
      <c r="K312" s="8">
        <f>SUM(Table1[[#This Row],[Sales (Q1)]:[Sales (Q4)]])</f>
        <v>167087</v>
      </c>
      <c r="L312" s="2" t="str">
        <f>IF(Table1[[#This Row],[Employee Total Sales]]&gt;=200000,"High Performer",IF(Table1[[#This Row],[Employee Total Sales]]&gt;=180000,"Mid Performer","Low Performer"))</f>
        <v>Low Performer</v>
      </c>
      <c r="M312" s="2" t="str">
        <f>IF(Table1[[#This Row],[Sales Performance]]="High Performer","Eligible for Promotion",IF(Table1[[#This Row],[Sales Performance]]="Low Performer","Review Cause Effect","Room For Growth"))</f>
        <v>Review Cause Effect</v>
      </c>
    </row>
    <row r="313" spans="1:13" x14ac:dyDescent="0.35">
      <c r="A313">
        <v>272</v>
      </c>
      <c r="B313" t="s">
        <v>481</v>
      </c>
      <c r="C313" t="s">
        <v>39</v>
      </c>
      <c r="D313" t="s">
        <v>28</v>
      </c>
      <c r="E313" s="14" t="s">
        <v>482</v>
      </c>
      <c r="F313" t="s">
        <v>1617</v>
      </c>
      <c r="G313" s="8">
        <v>37367</v>
      </c>
      <c r="H313" s="8">
        <v>75868</v>
      </c>
      <c r="I313" s="8">
        <v>27858</v>
      </c>
      <c r="J313" s="9">
        <v>25925</v>
      </c>
      <c r="K313" s="8">
        <f>SUM(Table1[[#This Row],[Sales (Q1)]:[Sales (Q4)]])</f>
        <v>167018</v>
      </c>
      <c r="L313" s="2" t="str">
        <f>IF(Table1[[#This Row],[Employee Total Sales]]&gt;=200000,"High Performer",IF(Table1[[#This Row],[Employee Total Sales]]&gt;=180000,"Mid Performer","Low Performer"))</f>
        <v>Low Performer</v>
      </c>
      <c r="M313" s="2" t="str">
        <f>IF(Table1[[#This Row],[Sales Performance]]="High Performer","Eligible for Promotion",IF(Table1[[#This Row],[Sales Performance]]="Low Performer","Review Cause Effect","Room For Growth"))</f>
        <v>Review Cause Effect</v>
      </c>
    </row>
    <row r="314" spans="1:13" x14ac:dyDescent="0.35">
      <c r="A314">
        <v>214</v>
      </c>
      <c r="B314" t="s">
        <v>339</v>
      </c>
      <c r="C314" t="s">
        <v>27</v>
      </c>
      <c r="D314" t="s">
        <v>20</v>
      </c>
      <c r="E314" s="14" t="s">
        <v>1733</v>
      </c>
      <c r="F314" t="s">
        <v>1618</v>
      </c>
      <c r="G314" s="8">
        <v>37090</v>
      </c>
      <c r="H314" s="8">
        <v>45137</v>
      </c>
      <c r="I314" s="8">
        <v>35435</v>
      </c>
      <c r="J314" s="9">
        <v>49277</v>
      </c>
      <c r="K314" s="8">
        <f>SUM(Table1[[#This Row],[Sales (Q1)]:[Sales (Q4)]])</f>
        <v>166939</v>
      </c>
      <c r="L314" s="2" t="str">
        <f>IF(Table1[[#This Row],[Employee Total Sales]]&gt;=200000,"High Performer",IF(Table1[[#This Row],[Employee Total Sales]]&gt;=180000,"Mid Performer","Low Performer"))</f>
        <v>Low Performer</v>
      </c>
      <c r="M314" s="2" t="str">
        <f>IF(Table1[[#This Row],[Sales Performance]]="High Performer","Eligible for Promotion",IF(Table1[[#This Row],[Sales Performance]]="Low Performer","Review Cause Effect","Room For Growth"))</f>
        <v>Review Cause Effect</v>
      </c>
    </row>
    <row r="315" spans="1:13" x14ac:dyDescent="0.35">
      <c r="A315">
        <v>256</v>
      </c>
      <c r="B315" t="s">
        <v>277</v>
      </c>
      <c r="C315" t="s">
        <v>32</v>
      </c>
      <c r="D315" t="s">
        <v>43</v>
      </c>
      <c r="E315" s="14" t="s">
        <v>1701</v>
      </c>
      <c r="F315" t="s">
        <v>440</v>
      </c>
      <c r="G315" s="8">
        <v>48920</v>
      </c>
      <c r="H315" s="8">
        <v>49918</v>
      </c>
      <c r="I315" s="8">
        <v>20044</v>
      </c>
      <c r="J315" s="9">
        <v>48036</v>
      </c>
      <c r="K315" s="8">
        <f>SUM(Table1[[#This Row],[Sales (Q1)]:[Sales (Q4)]])</f>
        <v>166918</v>
      </c>
      <c r="L315" s="2" t="str">
        <f>IF(Table1[[#This Row],[Employee Total Sales]]&gt;=200000,"High Performer",IF(Table1[[#This Row],[Employee Total Sales]]&gt;=180000,"Mid Performer","Low Performer"))</f>
        <v>Low Performer</v>
      </c>
      <c r="M315" s="2" t="str">
        <f>IF(Table1[[#This Row],[Sales Performance]]="High Performer","Eligible for Promotion",IF(Table1[[#This Row],[Sales Performance]]="Low Performer","Review Cause Effect","Room For Growth"))</f>
        <v>Review Cause Effect</v>
      </c>
    </row>
    <row r="316" spans="1:13" x14ac:dyDescent="0.35">
      <c r="A316">
        <v>470</v>
      </c>
      <c r="B316" t="s">
        <v>162</v>
      </c>
      <c r="C316" t="s">
        <v>16</v>
      </c>
      <c r="D316" t="s">
        <v>28</v>
      </c>
      <c r="E316" s="14" t="s">
        <v>798</v>
      </c>
      <c r="F316" t="s">
        <v>1619</v>
      </c>
      <c r="G316" s="8">
        <v>27793</v>
      </c>
      <c r="H316" s="8">
        <v>79541</v>
      </c>
      <c r="I316" s="8">
        <v>36581</v>
      </c>
      <c r="J316" s="9">
        <v>22836</v>
      </c>
      <c r="K316" s="8">
        <f>SUM(Table1[[#This Row],[Sales (Q1)]:[Sales (Q4)]])</f>
        <v>166751</v>
      </c>
      <c r="L316" s="2" t="str">
        <f>IF(Table1[[#This Row],[Employee Total Sales]]&gt;=200000,"High Performer",IF(Table1[[#This Row],[Employee Total Sales]]&gt;=180000,"Mid Performer","Low Performer"))</f>
        <v>Low Performer</v>
      </c>
      <c r="M316" s="2" t="str">
        <f>IF(Table1[[#This Row],[Sales Performance]]="High Performer","Eligible for Promotion",IF(Table1[[#This Row],[Sales Performance]]="Low Performer","Review Cause Effect","Room For Growth"))</f>
        <v>Review Cause Effect</v>
      </c>
    </row>
    <row r="317" spans="1:13" x14ac:dyDescent="0.35">
      <c r="A317">
        <v>427</v>
      </c>
      <c r="B317" t="s">
        <v>35</v>
      </c>
      <c r="C317" t="s">
        <v>11</v>
      </c>
      <c r="D317" t="s">
        <v>28</v>
      </c>
      <c r="E317" s="14" t="s">
        <v>1734</v>
      </c>
      <c r="F317" t="s">
        <v>1620</v>
      </c>
      <c r="G317" s="8">
        <v>76492</v>
      </c>
      <c r="H317" s="8">
        <v>22168</v>
      </c>
      <c r="I317" s="8">
        <v>42468</v>
      </c>
      <c r="J317" s="9">
        <v>25531</v>
      </c>
      <c r="K317" s="8">
        <f>SUM(Table1[[#This Row],[Sales (Q1)]:[Sales (Q4)]])</f>
        <v>166659</v>
      </c>
      <c r="L317" s="2" t="str">
        <f>IF(Table1[[#This Row],[Employee Total Sales]]&gt;=200000,"High Performer",IF(Table1[[#This Row],[Employee Total Sales]]&gt;=180000,"Mid Performer","Low Performer"))</f>
        <v>Low Performer</v>
      </c>
      <c r="M317" s="2" t="str">
        <f>IF(Table1[[#This Row],[Sales Performance]]="High Performer","Eligible for Promotion",IF(Table1[[#This Row],[Sales Performance]]="Low Performer","Review Cause Effect","Room For Growth"))</f>
        <v>Review Cause Effect</v>
      </c>
    </row>
    <row r="318" spans="1:13" x14ac:dyDescent="0.35">
      <c r="A318">
        <v>515</v>
      </c>
      <c r="B318" t="s">
        <v>1001</v>
      </c>
      <c r="C318" t="s">
        <v>11</v>
      </c>
      <c r="D318" t="s">
        <v>20</v>
      </c>
      <c r="E318" s="14" t="s">
        <v>1325</v>
      </c>
      <c r="F318" t="s">
        <v>1005</v>
      </c>
      <c r="G318" s="8">
        <v>66811</v>
      </c>
      <c r="H318" s="8">
        <v>23978</v>
      </c>
      <c r="I318" s="8">
        <v>54623</v>
      </c>
      <c r="J318" s="9">
        <v>21246</v>
      </c>
      <c r="K318" s="8">
        <f>SUM(Table1[[#This Row],[Sales (Q1)]:[Sales (Q4)]])</f>
        <v>166658</v>
      </c>
      <c r="L318" s="2" t="str">
        <f>IF(Table1[[#This Row],[Employee Total Sales]]&gt;=200000,"High Performer",IF(Table1[[#This Row],[Employee Total Sales]]&gt;=180000,"Mid Performer","Low Performer"))</f>
        <v>Low Performer</v>
      </c>
      <c r="M318" s="2" t="str">
        <f>IF(Table1[[#This Row],[Sales Performance]]="High Performer","Eligible for Promotion",IF(Table1[[#This Row],[Sales Performance]]="Low Performer","Review Cause Effect","Room For Growth"))</f>
        <v>Review Cause Effect</v>
      </c>
    </row>
    <row r="319" spans="1:13" x14ac:dyDescent="0.35">
      <c r="A319">
        <v>512</v>
      </c>
      <c r="B319" t="s">
        <v>996</v>
      </c>
      <c r="C319" t="s">
        <v>55</v>
      </c>
      <c r="D319" t="s">
        <v>20</v>
      </c>
      <c r="E319" s="14" t="s">
        <v>997</v>
      </c>
      <c r="F319" t="s">
        <v>1621</v>
      </c>
      <c r="G319" s="8">
        <v>72732</v>
      </c>
      <c r="H319" s="8">
        <v>39834</v>
      </c>
      <c r="I319" s="8">
        <v>25743</v>
      </c>
      <c r="J319" s="9">
        <v>28197</v>
      </c>
      <c r="K319" s="8">
        <f>SUM(Table1[[#This Row],[Sales (Q1)]:[Sales (Q4)]])</f>
        <v>166506</v>
      </c>
      <c r="L319" s="2" t="str">
        <f>IF(Table1[[#This Row],[Employee Total Sales]]&gt;=200000,"High Performer",IF(Table1[[#This Row],[Employee Total Sales]]&gt;=180000,"Mid Performer","Low Performer"))</f>
        <v>Low Performer</v>
      </c>
      <c r="M319" s="2" t="str">
        <f>IF(Table1[[#This Row],[Sales Performance]]="High Performer","Eligible for Promotion",IF(Table1[[#This Row],[Sales Performance]]="Low Performer","Review Cause Effect","Room For Growth"))</f>
        <v>Review Cause Effect</v>
      </c>
    </row>
    <row r="320" spans="1:13" x14ac:dyDescent="0.35">
      <c r="A320">
        <v>420</v>
      </c>
      <c r="B320" t="s">
        <v>543</v>
      </c>
      <c r="C320" t="s">
        <v>16</v>
      </c>
      <c r="D320" t="s">
        <v>12</v>
      </c>
      <c r="E320" s="14" t="s">
        <v>809</v>
      </c>
      <c r="F320" t="s">
        <v>1622</v>
      </c>
      <c r="G320" s="8">
        <v>23481</v>
      </c>
      <c r="H320" s="8">
        <v>20055</v>
      </c>
      <c r="I320" s="8">
        <v>66095</v>
      </c>
      <c r="J320" s="9">
        <v>56702</v>
      </c>
      <c r="K320" s="8">
        <f>SUM(Table1[[#This Row],[Sales (Q1)]:[Sales (Q4)]])</f>
        <v>166333</v>
      </c>
      <c r="L320" s="2" t="str">
        <f>IF(Table1[[#This Row],[Employee Total Sales]]&gt;=200000,"High Performer",IF(Table1[[#This Row],[Employee Total Sales]]&gt;=180000,"Mid Performer","Low Performer"))</f>
        <v>Low Performer</v>
      </c>
      <c r="M320" s="2" t="str">
        <f>IF(Table1[[#This Row],[Sales Performance]]="High Performer","Eligible for Promotion",IF(Table1[[#This Row],[Sales Performance]]="Low Performer","Review Cause Effect","Room For Growth"))</f>
        <v>Review Cause Effect</v>
      </c>
    </row>
    <row r="321" spans="1:13" x14ac:dyDescent="0.35">
      <c r="A321">
        <v>458</v>
      </c>
      <c r="B321" t="s">
        <v>868</v>
      </c>
      <c r="C321" t="s">
        <v>27</v>
      </c>
      <c r="D321" t="s">
        <v>43</v>
      </c>
      <c r="E321" s="14" t="s">
        <v>891</v>
      </c>
      <c r="F321" t="s">
        <v>1623</v>
      </c>
      <c r="G321" s="8">
        <v>42534</v>
      </c>
      <c r="H321" s="8">
        <v>29695</v>
      </c>
      <c r="I321" s="8">
        <v>44439</v>
      </c>
      <c r="J321" s="9">
        <v>49388</v>
      </c>
      <c r="K321" s="8">
        <f>SUM(Table1[[#This Row],[Sales (Q1)]:[Sales (Q4)]])</f>
        <v>166056</v>
      </c>
      <c r="L321" s="2" t="str">
        <f>IF(Table1[[#This Row],[Employee Total Sales]]&gt;=200000,"High Performer",IF(Table1[[#This Row],[Employee Total Sales]]&gt;=180000,"Mid Performer","Low Performer"))</f>
        <v>Low Performer</v>
      </c>
      <c r="M321" s="2" t="str">
        <f>IF(Table1[[#This Row],[Sales Performance]]="High Performer","Eligible for Promotion",IF(Table1[[#This Row],[Sales Performance]]="Low Performer","Review Cause Effect","Room For Growth"))</f>
        <v>Review Cause Effect</v>
      </c>
    </row>
    <row r="322" spans="1:13" x14ac:dyDescent="0.35">
      <c r="A322">
        <v>132</v>
      </c>
      <c r="B322" t="s">
        <v>110</v>
      </c>
      <c r="C322" t="s">
        <v>111</v>
      </c>
      <c r="D322" t="s">
        <v>20</v>
      </c>
      <c r="E322" s="14" t="s">
        <v>112</v>
      </c>
      <c r="F322" t="s">
        <v>1624</v>
      </c>
      <c r="G322" s="8">
        <v>36205</v>
      </c>
      <c r="H322" s="8">
        <v>33065</v>
      </c>
      <c r="I322" s="8">
        <v>74999</v>
      </c>
      <c r="J322" s="9">
        <v>21335</v>
      </c>
      <c r="K322" s="8">
        <f>SUM(Table1[[#This Row],[Sales (Q1)]:[Sales (Q4)]])</f>
        <v>165604</v>
      </c>
      <c r="L322" s="2" t="str">
        <f>IF(Table1[[#This Row],[Employee Total Sales]]&gt;=200000,"High Performer",IF(Table1[[#This Row],[Employee Total Sales]]&gt;=180000,"Mid Performer","Low Performer"))</f>
        <v>Low Performer</v>
      </c>
      <c r="M322" s="2" t="str">
        <f>IF(Table1[[#This Row],[Sales Performance]]="High Performer","Eligible for Promotion",IF(Table1[[#This Row],[Sales Performance]]="Low Performer","Review Cause Effect","Room For Growth"))</f>
        <v>Review Cause Effect</v>
      </c>
    </row>
    <row r="323" spans="1:13" x14ac:dyDescent="0.35">
      <c r="A323">
        <v>482</v>
      </c>
      <c r="B323" t="s">
        <v>939</v>
      </c>
      <c r="C323" t="s">
        <v>111</v>
      </c>
      <c r="D323" t="s">
        <v>43</v>
      </c>
      <c r="E323" s="14" t="s">
        <v>940</v>
      </c>
      <c r="F323" t="s">
        <v>1625</v>
      </c>
      <c r="G323" s="8">
        <v>58534</v>
      </c>
      <c r="H323" s="8">
        <v>21457</v>
      </c>
      <c r="I323" s="8">
        <v>40743</v>
      </c>
      <c r="J323" s="9">
        <v>44755</v>
      </c>
      <c r="K323" s="8">
        <f>SUM(Table1[[#This Row],[Sales (Q1)]:[Sales (Q4)]])</f>
        <v>165489</v>
      </c>
      <c r="L323" s="2" t="str">
        <f>IF(Table1[[#This Row],[Employee Total Sales]]&gt;=200000,"High Performer",IF(Table1[[#This Row],[Employee Total Sales]]&gt;=180000,"Mid Performer","Low Performer"))</f>
        <v>Low Performer</v>
      </c>
      <c r="M323" s="2" t="str">
        <f>IF(Table1[[#This Row],[Sales Performance]]="High Performer","Eligible for Promotion",IF(Table1[[#This Row],[Sales Performance]]="Low Performer","Review Cause Effect","Room For Growth"))</f>
        <v>Review Cause Effect</v>
      </c>
    </row>
    <row r="324" spans="1:13" x14ac:dyDescent="0.35">
      <c r="A324">
        <v>402</v>
      </c>
      <c r="B324" t="s">
        <v>146</v>
      </c>
      <c r="C324" t="s">
        <v>39</v>
      </c>
      <c r="D324" t="s">
        <v>28</v>
      </c>
      <c r="E324" s="14" t="s">
        <v>1626</v>
      </c>
      <c r="F324" t="s">
        <v>1627</v>
      </c>
      <c r="G324" s="8">
        <v>31681</v>
      </c>
      <c r="H324" s="8">
        <v>30573</v>
      </c>
      <c r="I324" s="8">
        <v>64046</v>
      </c>
      <c r="J324" s="9">
        <v>38637</v>
      </c>
      <c r="K324" s="8">
        <f>SUM(Table1[[#This Row],[Sales (Q1)]:[Sales (Q4)]])</f>
        <v>164937</v>
      </c>
      <c r="L324" s="2" t="str">
        <f>IF(Table1[[#This Row],[Employee Total Sales]]&gt;=200000,"High Performer",IF(Table1[[#This Row],[Employee Total Sales]]&gt;=180000,"Mid Performer","Low Performer"))</f>
        <v>Low Performer</v>
      </c>
      <c r="M324" s="2" t="str">
        <f>IF(Table1[[#This Row],[Sales Performance]]="High Performer","Eligible for Promotion",IF(Table1[[#This Row],[Sales Performance]]="Low Performer","Review Cause Effect","Room For Growth"))</f>
        <v>Review Cause Effect</v>
      </c>
    </row>
    <row r="325" spans="1:13" x14ac:dyDescent="0.35">
      <c r="A325">
        <v>302</v>
      </c>
      <c r="B325" t="s">
        <v>330</v>
      </c>
      <c r="C325" t="s">
        <v>111</v>
      </c>
      <c r="D325" t="s">
        <v>12</v>
      </c>
      <c r="E325" s="14" t="s">
        <v>1735</v>
      </c>
      <c r="F325" t="s">
        <v>1628</v>
      </c>
      <c r="G325" s="8">
        <v>54723</v>
      </c>
      <c r="H325" s="8">
        <v>39553</v>
      </c>
      <c r="I325" s="8">
        <v>47073</v>
      </c>
      <c r="J325" s="9">
        <v>23543</v>
      </c>
      <c r="K325" s="8">
        <f>SUM(Table1[[#This Row],[Sales (Q1)]:[Sales (Q4)]])</f>
        <v>164892</v>
      </c>
      <c r="L325" s="2" t="str">
        <f>IF(Table1[[#This Row],[Employee Total Sales]]&gt;=200000,"High Performer",IF(Table1[[#This Row],[Employee Total Sales]]&gt;=180000,"Mid Performer","Low Performer"))</f>
        <v>Low Performer</v>
      </c>
      <c r="M325" s="2" t="str">
        <f>IF(Table1[[#This Row],[Sales Performance]]="High Performer","Eligible for Promotion",IF(Table1[[#This Row],[Sales Performance]]="Low Performer","Review Cause Effect","Room For Growth"))</f>
        <v>Review Cause Effect</v>
      </c>
    </row>
    <row r="326" spans="1:13" x14ac:dyDescent="0.35">
      <c r="A326">
        <v>224</v>
      </c>
      <c r="B326" t="s">
        <v>362</v>
      </c>
      <c r="C326" t="s">
        <v>39</v>
      </c>
      <c r="D326" t="s">
        <v>20</v>
      </c>
      <c r="E326" s="14" t="s">
        <v>363</v>
      </c>
      <c r="F326" t="s">
        <v>1629</v>
      </c>
      <c r="G326" s="8">
        <v>54733</v>
      </c>
      <c r="H326" s="8">
        <v>28787</v>
      </c>
      <c r="I326" s="8">
        <v>45455</v>
      </c>
      <c r="J326" s="9">
        <v>35915</v>
      </c>
      <c r="K326" s="8">
        <f>SUM(Table1[[#This Row],[Sales (Q1)]:[Sales (Q4)]])</f>
        <v>164890</v>
      </c>
      <c r="L326" s="2" t="str">
        <f>IF(Table1[[#This Row],[Employee Total Sales]]&gt;=200000,"High Performer",IF(Table1[[#This Row],[Employee Total Sales]]&gt;=180000,"Mid Performer","Low Performer"))</f>
        <v>Low Performer</v>
      </c>
      <c r="M326" s="2" t="str">
        <f>IF(Table1[[#This Row],[Sales Performance]]="High Performer","Eligible for Promotion",IF(Table1[[#This Row],[Sales Performance]]="Low Performer","Review Cause Effect","Room For Growth"))</f>
        <v>Review Cause Effect</v>
      </c>
    </row>
    <row r="327" spans="1:13" x14ac:dyDescent="0.35">
      <c r="A327">
        <v>451</v>
      </c>
      <c r="B327" t="s">
        <v>401</v>
      </c>
      <c r="C327" t="s">
        <v>16</v>
      </c>
      <c r="D327" t="s">
        <v>43</v>
      </c>
      <c r="E327" s="14" t="s">
        <v>1330</v>
      </c>
      <c r="F327" t="s">
        <v>1630</v>
      </c>
      <c r="G327" s="8">
        <v>54794</v>
      </c>
      <c r="H327" s="8">
        <v>22143</v>
      </c>
      <c r="I327" s="8">
        <v>39437</v>
      </c>
      <c r="J327" s="9">
        <v>47911</v>
      </c>
      <c r="K327" s="8">
        <f>SUM(Table1[[#This Row],[Sales (Q1)]:[Sales (Q4)]])</f>
        <v>164285</v>
      </c>
      <c r="L327" s="2" t="str">
        <f>IF(Table1[[#This Row],[Employee Total Sales]]&gt;=200000,"High Performer",IF(Table1[[#This Row],[Employee Total Sales]]&gt;=180000,"Mid Performer","Low Performer"))</f>
        <v>Low Performer</v>
      </c>
      <c r="M327" s="2" t="str">
        <f>IF(Table1[[#This Row],[Sales Performance]]="High Performer","Eligible for Promotion",IF(Table1[[#This Row],[Sales Performance]]="Low Performer","Review Cause Effect","Room For Growth"))</f>
        <v>Review Cause Effect</v>
      </c>
    </row>
    <row r="328" spans="1:13" x14ac:dyDescent="0.35">
      <c r="A328">
        <v>297</v>
      </c>
      <c r="B328" t="s">
        <v>75</v>
      </c>
      <c r="C328" t="s">
        <v>11</v>
      </c>
      <c r="D328" t="s">
        <v>43</v>
      </c>
      <c r="E328" s="14" t="s">
        <v>1530</v>
      </c>
      <c r="F328" t="s">
        <v>1631</v>
      </c>
      <c r="G328" s="8">
        <v>72485</v>
      </c>
      <c r="H328" s="8">
        <v>20554</v>
      </c>
      <c r="I328" s="8">
        <v>34664</v>
      </c>
      <c r="J328" s="9">
        <v>36540</v>
      </c>
      <c r="K328" s="8">
        <f>SUM(Table1[[#This Row],[Sales (Q1)]:[Sales (Q4)]])</f>
        <v>164243</v>
      </c>
      <c r="L328" s="2" t="str">
        <f>IF(Table1[[#This Row],[Employee Total Sales]]&gt;=200000,"High Performer",IF(Table1[[#This Row],[Employee Total Sales]]&gt;=180000,"Mid Performer","Low Performer"))</f>
        <v>Low Performer</v>
      </c>
      <c r="M328" s="2" t="str">
        <f>IF(Table1[[#This Row],[Sales Performance]]="High Performer","Eligible for Promotion",IF(Table1[[#This Row],[Sales Performance]]="Low Performer","Review Cause Effect","Room For Growth"))</f>
        <v>Review Cause Effect</v>
      </c>
    </row>
    <row r="329" spans="1:13" x14ac:dyDescent="0.35">
      <c r="A329">
        <v>426</v>
      </c>
      <c r="B329" t="s">
        <v>19</v>
      </c>
      <c r="C329" t="s">
        <v>11</v>
      </c>
      <c r="D329" t="s">
        <v>20</v>
      </c>
      <c r="E329" s="14" t="s">
        <v>1720</v>
      </c>
      <c r="F329" t="s">
        <v>1632</v>
      </c>
      <c r="G329" s="8">
        <v>36518</v>
      </c>
      <c r="H329" s="8">
        <v>28686</v>
      </c>
      <c r="I329" s="8">
        <v>60356</v>
      </c>
      <c r="J329" s="9">
        <v>38413</v>
      </c>
      <c r="K329" s="8">
        <f>SUM(Table1[[#This Row],[Sales (Q1)]:[Sales (Q4)]])</f>
        <v>163973</v>
      </c>
      <c r="L329" s="2" t="str">
        <f>IF(Table1[[#This Row],[Employee Total Sales]]&gt;=200000,"High Performer",IF(Table1[[#This Row],[Employee Total Sales]]&gt;=180000,"Mid Performer","Low Performer"))</f>
        <v>Low Performer</v>
      </c>
      <c r="M329" s="2" t="str">
        <f>IF(Table1[[#This Row],[Sales Performance]]="High Performer","Eligible for Promotion",IF(Table1[[#This Row],[Sales Performance]]="Low Performer","Review Cause Effect","Room For Growth"))</f>
        <v>Review Cause Effect</v>
      </c>
    </row>
    <row r="330" spans="1:13" x14ac:dyDescent="0.35">
      <c r="A330">
        <v>121</v>
      </c>
      <c r="B330" t="s">
        <v>49</v>
      </c>
      <c r="C330" t="s">
        <v>39</v>
      </c>
      <c r="D330" t="s">
        <v>28</v>
      </c>
      <c r="E330" s="14" t="s">
        <v>897</v>
      </c>
      <c r="F330" t="s">
        <v>79</v>
      </c>
      <c r="G330" s="8">
        <v>21550</v>
      </c>
      <c r="H330" s="8">
        <v>63255</v>
      </c>
      <c r="I330" s="8">
        <v>32656</v>
      </c>
      <c r="J330" s="9">
        <v>46113</v>
      </c>
      <c r="K330" s="8">
        <f>SUM(Table1[[#This Row],[Sales (Q1)]:[Sales (Q4)]])</f>
        <v>163574</v>
      </c>
      <c r="L330" s="2" t="str">
        <f>IF(Table1[[#This Row],[Employee Total Sales]]&gt;=200000,"High Performer",IF(Table1[[#This Row],[Employee Total Sales]]&gt;=180000,"Mid Performer","Low Performer"))</f>
        <v>Low Performer</v>
      </c>
      <c r="M330" s="2" t="str">
        <f>IF(Table1[[#This Row],[Sales Performance]]="High Performer","Eligible for Promotion",IF(Table1[[#This Row],[Sales Performance]]="Low Performer","Review Cause Effect","Room For Growth"))</f>
        <v>Review Cause Effect</v>
      </c>
    </row>
    <row r="331" spans="1:13" x14ac:dyDescent="0.35">
      <c r="A331">
        <v>231</v>
      </c>
      <c r="B331" t="s">
        <v>114</v>
      </c>
      <c r="C331" t="s">
        <v>39</v>
      </c>
      <c r="D331" t="s">
        <v>12</v>
      </c>
      <c r="E331" s="14" t="s">
        <v>379</v>
      </c>
      <c r="F331" t="s">
        <v>1633</v>
      </c>
      <c r="G331" s="8">
        <v>26127</v>
      </c>
      <c r="H331" s="8">
        <v>46560</v>
      </c>
      <c r="I331" s="8">
        <v>44855</v>
      </c>
      <c r="J331" s="9">
        <v>44718</v>
      </c>
      <c r="K331" s="8">
        <f>SUM(Table1[[#This Row],[Sales (Q1)]:[Sales (Q4)]])</f>
        <v>162260</v>
      </c>
      <c r="L331" s="2" t="str">
        <f>IF(Table1[[#This Row],[Employee Total Sales]]&gt;=200000,"High Performer",IF(Table1[[#This Row],[Employee Total Sales]]&gt;=180000,"Mid Performer","Low Performer"))</f>
        <v>Low Performer</v>
      </c>
      <c r="M331" s="2" t="str">
        <f>IF(Table1[[#This Row],[Sales Performance]]="High Performer","Eligible for Promotion",IF(Table1[[#This Row],[Sales Performance]]="Low Performer","Review Cause Effect","Room For Growth"))</f>
        <v>Review Cause Effect</v>
      </c>
    </row>
    <row r="332" spans="1:13" x14ac:dyDescent="0.35">
      <c r="A332">
        <v>180</v>
      </c>
      <c r="B332" t="s">
        <v>242</v>
      </c>
      <c r="C332" t="s">
        <v>11</v>
      </c>
      <c r="D332" t="s">
        <v>43</v>
      </c>
      <c r="E332" s="14" t="s">
        <v>243</v>
      </c>
      <c r="F332" t="s">
        <v>1634</v>
      </c>
      <c r="G332" s="8">
        <v>53324</v>
      </c>
      <c r="H332" s="8">
        <v>43712</v>
      </c>
      <c r="I332" s="8">
        <v>21194</v>
      </c>
      <c r="J332" s="9">
        <v>43763</v>
      </c>
      <c r="K332" s="8">
        <f>SUM(Table1[[#This Row],[Sales (Q1)]:[Sales (Q4)]])</f>
        <v>161993</v>
      </c>
      <c r="L332" s="2" t="str">
        <f>IF(Table1[[#This Row],[Employee Total Sales]]&gt;=200000,"High Performer",IF(Table1[[#This Row],[Employee Total Sales]]&gt;=180000,"Mid Performer","Low Performer"))</f>
        <v>Low Performer</v>
      </c>
      <c r="M332" s="2" t="str">
        <f>IF(Table1[[#This Row],[Sales Performance]]="High Performer","Eligible for Promotion",IF(Table1[[#This Row],[Sales Performance]]="Low Performer","Review Cause Effect","Room For Growth"))</f>
        <v>Review Cause Effect</v>
      </c>
    </row>
    <row r="333" spans="1:13" x14ac:dyDescent="0.35">
      <c r="A333">
        <v>313</v>
      </c>
      <c r="B333" t="s">
        <v>464</v>
      </c>
      <c r="C333" t="s">
        <v>39</v>
      </c>
      <c r="D333" t="s">
        <v>20</v>
      </c>
      <c r="E333" s="14" t="s">
        <v>574</v>
      </c>
      <c r="F333" t="s">
        <v>1635</v>
      </c>
      <c r="G333" s="8">
        <v>37145</v>
      </c>
      <c r="H333" s="8">
        <v>62924</v>
      </c>
      <c r="I333" s="8">
        <v>40593</v>
      </c>
      <c r="J333" s="9">
        <v>20810</v>
      </c>
      <c r="K333" s="8">
        <f>SUM(Table1[[#This Row],[Sales (Q1)]:[Sales (Q4)]])</f>
        <v>161472</v>
      </c>
      <c r="L333" s="2" t="str">
        <f>IF(Table1[[#This Row],[Employee Total Sales]]&gt;=200000,"High Performer",IF(Table1[[#This Row],[Employee Total Sales]]&gt;=180000,"Mid Performer","Low Performer"))</f>
        <v>Low Performer</v>
      </c>
      <c r="M333" s="2" t="str">
        <f>IF(Table1[[#This Row],[Sales Performance]]="High Performer","Eligible for Promotion",IF(Table1[[#This Row],[Sales Performance]]="Low Performer","Review Cause Effect","Room For Growth"))</f>
        <v>Review Cause Effect</v>
      </c>
    </row>
    <row r="334" spans="1:13" x14ac:dyDescent="0.35">
      <c r="A334">
        <v>356</v>
      </c>
      <c r="B334" t="s">
        <v>670</v>
      </c>
      <c r="C334" t="s">
        <v>55</v>
      </c>
      <c r="D334" t="s">
        <v>20</v>
      </c>
      <c r="E334" s="14" t="s">
        <v>671</v>
      </c>
      <c r="F334" t="s">
        <v>1636</v>
      </c>
      <c r="G334" s="8">
        <v>37226</v>
      </c>
      <c r="H334" s="8">
        <v>35541</v>
      </c>
      <c r="I334" s="8">
        <v>37655</v>
      </c>
      <c r="J334" s="9">
        <v>50890</v>
      </c>
      <c r="K334" s="8">
        <f>SUM(Table1[[#This Row],[Sales (Q1)]:[Sales (Q4)]])</f>
        <v>161312</v>
      </c>
      <c r="L334" s="2" t="str">
        <f>IF(Table1[[#This Row],[Employee Total Sales]]&gt;=200000,"High Performer",IF(Table1[[#This Row],[Employee Total Sales]]&gt;=180000,"Mid Performer","Low Performer"))</f>
        <v>Low Performer</v>
      </c>
      <c r="M334" s="2" t="str">
        <f>IF(Table1[[#This Row],[Sales Performance]]="High Performer","Eligible for Promotion",IF(Table1[[#This Row],[Sales Performance]]="Low Performer","Review Cause Effect","Room For Growth"))</f>
        <v>Review Cause Effect</v>
      </c>
    </row>
    <row r="335" spans="1:13" x14ac:dyDescent="0.35">
      <c r="A335">
        <v>430</v>
      </c>
      <c r="B335" t="s">
        <v>828</v>
      </c>
      <c r="C335" t="s">
        <v>111</v>
      </c>
      <c r="D335" t="s">
        <v>12</v>
      </c>
      <c r="E335" s="14" t="s">
        <v>829</v>
      </c>
      <c r="F335" t="s">
        <v>1637</v>
      </c>
      <c r="G335" s="8">
        <v>55888</v>
      </c>
      <c r="H335" s="8">
        <v>20693</v>
      </c>
      <c r="I335" s="8">
        <v>64092</v>
      </c>
      <c r="J335" s="9">
        <v>20555</v>
      </c>
      <c r="K335" s="8">
        <f>SUM(Table1[[#This Row],[Sales (Q1)]:[Sales (Q4)]])</f>
        <v>161228</v>
      </c>
      <c r="L335" s="2" t="str">
        <f>IF(Table1[[#This Row],[Employee Total Sales]]&gt;=200000,"High Performer",IF(Table1[[#This Row],[Employee Total Sales]]&gt;=180000,"Mid Performer","Low Performer"))</f>
        <v>Low Performer</v>
      </c>
      <c r="M335" s="2" t="str">
        <f>IF(Table1[[#This Row],[Sales Performance]]="High Performer","Eligible for Promotion",IF(Table1[[#This Row],[Sales Performance]]="Low Performer","Review Cause Effect","Room For Growth"))</f>
        <v>Review Cause Effect</v>
      </c>
    </row>
    <row r="336" spans="1:13" x14ac:dyDescent="0.35">
      <c r="A336">
        <v>250</v>
      </c>
      <c r="B336" t="s">
        <v>425</v>
      </c>
      <c r="C336" t="s">
        <v>11</v>
      </c>
      <c r="D336" t="s">
        <v>20</v>
      </c>
      <c r="E336" s="14" t="s">
        <v>1638</v>
      </c>
      <c r="F336" t="s">
        <v>1639</v>
      </c>
      <c r="G336" s="8">
        <v>34735</v>
      </c>
      <c r="H336" s="8">
        <v>55232</v>
      </c>
      <c r="I336" s="8">
        <v>38918</v>
      </c>
      <c r="J336" s="9">
        <v>31023</v>
      </c>
      <c r="K336" s="8">
        <f>SUM(Table1[[#This Row],[Sales (Q1)]:[Sales (Q4)]])</f>
        <v>159908</v>
      </c>
      <c r="L336" s="2" t="str">
        <f>IF(Table1[[#This Row],[Employee Total Sales]]&gt;=200000,"High Performer",IF(Table1[[#This Row],[Employee Total Sales]]&gt;=180000,"Mid Performer","Low Performer"))</f>
        <v>Low Performer</v>
      </c>
      <c r="M336" s="2" t="str">
        <f>IF(Table1[[#This Row],[Sales Performance]]="High Performer","Eligible for Promotion",IF(Table1[[#This Row],[Sales Performance]]="Low Performer","Review Cause Effect","Room For Growth"))</f>
        <v>Review Cause Effect</v>
      </c>
    </row>
    <row r="337" spans="1:13" x14ac:dyDescent="0.35">
      <c r="A337">
        <v>245</v>
      </c>
      <c r="B337" t="s">
        <v>235</v>
      </c>
      <c r="C337" t="s">
        <v>55</v>
      </c>
      <c r="D337" t="s">
        <v>12</v>
      </c>
      <c r="E337" s="14" t="s">
        <v>412</v>
      </c>
      <c r="F337" t="s">
        <v>1640</v>
      </c>
      <c r="G337" s="8">
        <v>31432</v>
      </c>
      <c r="H337" s="8">
        <v>56169</v>
      </c>
      <c r="I337" s="8">
        <v>30494</v>
      </c>
      <c r="J337" s="9">
        <v>41691</v>
      </c>
      <c r="K337" s="8">
        <f>SUM(Table1[[#This Row],[Sales (Q1)]:[Sales (Q4)]])</f>
        <v>159786</v>
      </c>
      <c r="L337" s="2" t="str">
        <f>IF(Table1[[#This Row],[Employee Total Sales]]&gt;=200000,"High Performer",IF(Table1[[#This Row],[Employee Total Sales]]&gt;=180000,"Mid Performer","Low Performer"))</f>
        <v>Low Performer</v>
      </c>
      <c r="M337" s="2" t="str">
        <f>IF(Table1[[#This Row],[Sales Performance]]="High Performer","Eligible for Promotion",IF(Table1[[#This Row],[Sales Performance]]="Low Performer","Review Cause Effect","Room For Growth"))</f>
        <v>Review Cause Effect</v>
      </c>
    </row>
    <row r="338" spans="1:13" x14ac:dyDescent="0.35">
      <c r="A338">
        <v>575</v>
      </c>
      <c r="B338" t="s">
        <v>86</v>
      </c>
      <c r="C338" t="s">
        <v>16</v>
      </c>
      <c r="D338" t="s">
        <v>28</v>
      </c>
      <c r="E338" s="14" t="s">
        <v>87</v>
      </c>
      <c r="F338" t="s">
        <v>1641</v>
      </c>
      <c r="G338" s="8">
        <v>21831</v>
      </c>
      <c r="H338" s="8">
        <v>20954</v>
      </c>
      <c r="I338" s="8">
        <v>42093</v>
      </c>
      <c r="J338" s="9">
        <v>73774</v>
      </c>
      <c r="K338" s="8">
        <f>SUM(Table1[[#This Row],[Sales (Q1)]:[Sales (Q4)]])</f>
        <v>158652</v>
      </c>
      <c r="L338" s="2" t="str">
        <f>IF(Table1[[#This Row],[Employee Total Sales]]&gt;=200000,"High Performer",IF(Table1[[#This Row],[Employee Total Sales]]&gt;=180000,"Mid Performer","Low Performer"))</f>
        <v>Low Performer</v>
      </c>
      <c r="M338" s="2" t="str">
        <f>IF(Table1[[#This Row],[Sales Performance]]="High Performer","Eligible for Promotion",IF(Table1[[#This Row],[Sales Performance]]="Low Performer","Review Cause Effect","Room For Growth"))</f>
        <v>Review Cause Effect</v>
      </c>
    </row>
    <row r="339" spans="1:13" x14ac:dyDescent="0.35">
      <c r="A339">
        <v>361</v>
      </c>
      <c r="B339" t="s">
        <v>60</v>
      </c>
      <c r="C339" t="s">
        <v>111</v>
      </c>
      <c r="D339" t="s">
        <v>43</v>
      </c>
      <c r="E339" s="14" t="s">
        <v>684</v>
      </c>
      <c r="F339" t="s">
        <v>685</v>
      </c>
      <c r="G339" s="8">
        <v>32051</v>
      </c>
      <c r="H339" s="8">
        <v>75981</v>
      </c>
      <c r="I339" s="8">
        <v>21513</v>
      </c>
      <c r="J339" s="9">
        <v>28194</v>
      </c>
      <c r="K339" s="8">
        <f>SUM(Table1[[#This Row],[Sales (Q1)]:[Sales (Q4)]])</f>
        <v>157739</v>
      </c>
      <c r="L339" s="2" t="str">
        <f>IF(Table1[[#This Row],[Employee Total Sales]]&gt;=200000,"High Performer",IF(Table1[[#This Row],[Employee Total Sales]]&gt;=180000,"Mid Performer","Low Performer"))</f>
        <v>Low Performer</v>
      </c>
      <c r="M339" s="2" t="str">
        <f>IF(Table1[[#This Row],[Sales Performance]]="High Performer","Eligible for Promotion",IF(Table1[[#This Row],[Sales Performance]]="Low Performer","Review Cause Effect","Room For Growth"))</f>
        <v>Review Cause Effect</v>
      </c>
    </row>
    <row r="340" spans="1:13" x14ac:dyDescent="0.35">
      <c r="A340">
        <v>576</v>
      </c>
      <c r="B340" t="s">
        <v>452</v>
      </c>
      <c r="C340" t="s">
        <v>55</v>
      </c>
      <c r="D340" t="s">
        <v>43</v>
      </c>
      <c r="E340" s="14" t="s">
        <v>1241</v>
      </c>
      <c r="F340" t="s">
        <v>1642</v>
      </c>
      <c r="G340" s="8">
        <v>45890</v>
      </c>
      <c r="H340" s="8">
        <v>48041</v>
      </c>
      <c r="I340" s="8">
        <v>27917</v>
      </c>
      <c r="J340" s="9">
        <v>35231</v>
      </c>
      <c r="K340" s="8">
        <f>SUM(Table1[[#This Row],[Sales (Q1)]:[Sales (Q4)]])</f>
        <v>157079</v>
      </c>
      <c r="L340" s="2" t="str">
        <f>IF(Table1[[#This Row],[Employee Total Sales]]&gt;=200000,"High Performer",IF(Table1[[#This Row],[Employee Total Sales]]&gt;=180000,"Mid Performer","Low Performer"))</f>
        <v>Low Performer</v>
      </c>
      <c r="M340" s="2" t="str">
        <f>IF(Table1[[#This Row],[Sales Performance]]="High Performer","Eligible for Promotion",IF(Table1[[#This Row],[Sales Performance]]="Low Performer","Review Cause Effect","Room For Growth"))</f>
        <v>Review Cause Effect</v>
      </c>
    </row>
    <row r="341" spans="1:13" x14ac:dyDescent="0.35">
      <c r="A341">
        <v>221</v>
      </c>
      <c r="B341" t="s">
        <v>355</v>
      </c>
      <c r="C341" t="s">
        <v>39</v>
      </c>
      <c r="D341" t="s">
        <v>20</v>
      </c>
      <c r="E341" s="14" t="s">
        <v>356</v>
      </c>
      <c r="F341" t="s">
        <v>1643</v>
      </c>
      <c r="G341" s="8">
        <v>26612</v>
      </c>
      <c r="H341" s="8">
        <v>58924</v>
      </c>
      <c r="I341" s="8">
        <v>22200</v>
      </c>
      <c r="J341" s="9">
        <v>49257</v>
      </c>
      <c r="K341" s="8">
        <f>SUM(Table1[[#This Row],[Sales (Q1)]:[Sales (Q4)]])</f>
        <v>156993</v>
      </c>
      <c r="L341" s="2" t="str">
        <f>IF(Table1[[#This Row],[Employee Total Sales]]&gt;=200000,"High Performer",IF(Table1[[#This Row],[Employee Total Sales]]&gt;=180000,"Mid Performer","Low Performer"))</f>
        <v>Low Performer</v>
      </c>
      <c r="M341" s="2" t="str">
        <f>IF(Table1[[#This Row],[Sales Performance]]="High Performer","Eligible for Promotion",IF(Table1[[#This Row],[Sales Performance]]="Low Performer","Review Cause Effect","Room For Growth"))</f>
        <v>Review Cause Effect</v>
      </c>
    </row>
    <row r="342" spans="1:13" x14ac:dyDescent="0.35">
      <c r="A342">
        <v>112</v>
      </c>
      <c r="B342" t="s">
        <v>52</v>
      </c>
      <c r="C342" t="s">
        <v>11</v>
      </c>
      <c r="D342" t="s">
        <v>28</v>
      </c>
      <c r="E342" s="14" t="s">
        <v>53</v>
      </c>
      <c r="F342" t="s">
        <v>1644</v>
      </c>
      <c r="G342" s="8">
        <v>32025</v>
      </c>
      <c r="H342" s="8">
        <v>38254</v>
      </c>
      <c r="I342" s="8">
        <v>50318</v>
      </c>
      <c r="J342" s="9">
        <v>36371</v>
      </c>
      <c r="K342" s="8">
        <f>SUM(Table1[[#This Row],[Sales (Q1)]:[Sales (Q4)]])</f>
        <v>156968</v>
      </c>
      <c r="L342" s="2" t="str">
        <f>IF(Table1[[#This Row],[Employee Total Sales]]&gt;=200000,"High Performer",IF(Table1[[#This Row],[Employee Total Sales]]&gt;=180000,"Mid Performer","Low Performer"))</f>
        <v>Low Performer</v>
      </c>
      <c r="M342" s="2" t="str">
        <f>IF(Table1[[#This Row],[Sales Performance]]="High Performer","Eligible for Promotion",IF(Table1[[#This Row],[Sales Performance]]="Low Performer","Review Cause Effect","Room For Growth"))</f>
        <v>Review Cause Effect</v>
      </c>
    </row>
    <row r="343" spans="1:13" x14ac:dyDescent="0.35">
      <c r="A343">
        <v>314</v>
      </c>
      <c r="B343" t="s">
        <v>26</v>
      </c>
      <c r="C343" t="s">
        <v>32</v>
      </c>
      <c r="D343" t="s">
        <v>28</v>
      </c>
      <c r="E343" s="14" t="s">
        <v>1645</v>
      </c>
      <c r="F343" t="s">
        <v>1646</v>
      </c>
      <c r="G343" s="8">
        <v>41013</v>
      </c>
      <c r="H343" s="8">
        <v>35787</v>
      </c>
      <c r="I343" s="8">
        <v>41685</v>
      </c>
      <c r="J343" s="9">
        <v>38229</v>
      </c>
      <c r="K343" s="8">
        <f>SUM(Table1[[#This Row],[Sales (Q1)]:[Sales (Q4)]])</f>
        <v>156714</v>
      </c>
      <c r="L343" s="2" t="str">
        <f>IF(Table1[[#This Row],[Employee Total Sales]]&gt;=200000,"High Performer",IF(Table1[[#This Row],[Employee Total Sales]]&gt;=180000,"Mid Performer","Low Performer"))</f>
        <v>Low Performer</v>
      </c>
      <c r="M343" s="2" t="str">
        <f>IF(Table1[[#This Row],[Sales Performance]]="High Performer","Eligible for Promotion",IF(Table1[[#This Row],[Sales Performance]]="Low Performer","Review Cause Effect","Room For Growth"))</f>
        <v>Review Cause Effect</v>
      </c>
    </row>
    <row r="344" spans="1:13" x14ac:dyDescent="0.35">
      <c r="A344">
        <v>283</v>
      </c>
      <c r="B344" t="s">
        <v>507</v>
      </c>
      <c r="C344" t="s">
        <v>111</v>
      </c>
      <c r="D344" t="s">
        <v>43</v>
      </c>
      <c r="E344" s="14" t="s">
        <v>1540</v>
      </c>
      <c r="F344" t="s">
        <v>1647</v>
      </c>
      <c r="G344" s="8">
        <v>67213</v>
      </c>
      <c r="H344" s="8">
        <v>20083</v>
      </c>
      <c r="I344" s="8">
        <v>23155</v>
      </c>
      <c r="J344" s="9">
        <v>45292</v>
      </c>
      <c r="K344" s="8">
        <f>SUM(Table1[[#This Row],[Sales (Q1)]:[Sales (Q4)]])</f>
        <v>155743</v>
      </c>
      <c r="L344" s="2" t="str">
        <f>IF(Table1[[#This Row],[Employee Total Sales]]&gt;=200000,"High Performer",IF(Table1[[#This Row],[Employee Total Sales]]&gt;=180000,"Mid Performer","Low Performer"))</f>
        <v>Low Performer</v>
      </c>
      <c r="M344" s="2" t="str">
        <f>IF(Table1[[#This Row],[Sales Performance]]="High Performer","Eligible for Promotion",IF(Table1[[#This Row],[Sales Performance]]="Low Performer","Review Cause Effect","Room For Growth"))</f>
        <v>Review Cause Effect</v>
      </c>
    </row>
    <row r="345" spans="1:13" x14ac:dyDescent="0.35">
      <c r="A345">
        <v>579</v>
      </c>
      <c r="B345" t="s">
        <v>355</v>
      </c>
      <c r="C345" t="s">
        <v>32</v>
      </c>
      <c r="D345" t="s">
        <v>28</v>
      </c>
      <c r="E345" s="14" t="s">
        <v>1120</v>
      </c>
      <c r="F345" t="s">
        <v>1648</v>
      </c>
      <c r="G345" s="8">
        <v>52684</v>
      </c>
      <c r="H345" s="8">
        <v>39438</v>
      </c>
      <c r="I345" s="8">
        <v>33239</v>
      </c>
      <c r="J345" s="9">
        <v>29939</v>
      </c>
      <c r="K345" s="8">
        <f>SUM(Table1[[#This Row],[Sales (Q1)]:[Sales (Q4)]])</f>
        <v>155300</v>
      </c>
      <c r="L345" s="2" t="str">
        <f>IF(Table1[[#This Row],[Employee Total Sales]]&gt;=200000,"High Performer",IF(Table1[[#This Row],[Employee Total Sales]]&gt;=180000,"Mid Performer","Low Performer"))</f>
        <v>Low Performer</v>
      </c>
      <c r="M345" s="2" t="str">
        <f>IF(Table1[[#This Row],[Sales Performance]]="High Performer","Eligible for Promotion",IF(Table1[[#This Row],[Sales Performance]]="Low Performer","Review Cause Effect","Room For Growth"))</f>
        <v>Review Cause Effect</v>
      </c>
    </row>
    <row r="346" spans="1:13" x14ac:dyDescent="0.35">
      <c r="A346">
        <v>210</v>
      </c>
      <c r="B346" t="s">
        <v>327</v>
      </c>
      <c r="C346" t="s">
        <v>11</v>
      </c>
      <c r="D346" t="s">
        <v>20</v>
      </c>
      <c r="E346" s="14" t="s">
        <v>328</v>
      </c>
      <c r="F346" t="s">
        <v>1649</v>
      </c>
      <c r="G346" s="8">
        <v>34789</v>
      </c>
      <c r="H346" s="8">
        <v>61808</v>
      </c>
      <c r="I346" s="8">
        <v>35259</v>
      </c>
      <c r="J346" s="9">
        <v>23440</v>
      </c>
      <c r="K346" s="8">
        <f>SUM(Table1[[#This Row],[Sales (Q1)]:[Sales (Q4)]])</f>
        <v>155296</v>
      </c>
      <c r="L346" s="2" t="str">
        <f>IF(Table1[[#This Row],[Employee Total Sales]]&gt;=200000,"High Performer",IF(Table1[[#This Row],[Employee Total Sales]]&gt;=180000,"Mid Performer","Low Performer"))</f>
        <v>Low Performer</v>
      </c>
      <c r="M346" s="2" t="str">
        <f>IF(Table1[[#This Row],[Sales Performance]]="High Performer","Eligible for Promotion",IF(Table1[[#This Row],[Sales Performance]]="Low Performer","Review Cause Effect","Room For Growth"))</f>
        <v>Review Cause Effect</v>
      </c>
    </row>
    <row r="347" spans="1:13" x14ac:dyDescent="0.35">
      <c r="A347">
        <v>468</v>
      </c>
      <c r="B347" t="s">
        <v>693</v>
      </c>
      <c r="C347" t="s">
        <v>32</v>
      </c>
      <c r="D347" t="s">
        <v>12</v>
      </c>
      <c r="E347" s="14" t="s">
        <v>910</v>
      </c>
      <c r="F347" t="s">
        <v>1650</v>
      </c>
      <c r="G347" s="8">
        <v>25006</v>
      </c>
      <c r="H347" s="8">
        <v>27639</v>
      </c>
      <c r="I347" s="8">
        <v>73663</v>
      </c>
      <c r="J347" s="9">
        <v>28600</v>
      </c>
      <c r="K347" s="8">
        <f>SUM(Table1[[#This Row],[Sales (Q1)]:[Sales (Q4)]])</f>
        <v>154908</v>
      </c>
      <c r="L347" s="2" t="str">
        <f>IF(Table1[[#This Row],[Employee Total Sales]]&gt;=200000,"High Performer",IF(Table1[[#This Row],[Employee Total Sales]]&gt;=180000,"Mid Performer","Low Performer"))</f>
        <v>Low Performer</v>
      </c>
      <c r="M347" s="2" t="str">
        <f>IF(Table1[[#This Row],[Sales Performance]]="High Performer","Eligible for Promotion",IF(Table1[[#This Row],[Sales Performance]]="Low Performer","Review Cause Effect","Room For Growth"))</f>
        <v>Review Cause Effect</v>
      </c>
    </row>
    <row r="348" spans="1:13" x14ac:dyDescent="0.35">
      <c r="A348">
        <v>235</v>
      </c>
      <c r="B348" t="s">
        <v>389</v>
      </c>
      <c r="C348" t="s">
        <v>11</v>
      </c>
      <c r="D348" t="s">
        <v>12</v>
      </c>
      <c r="E348" s="14" t="s">
        <v>1269</v>
      </c>
      <c r="F348" t="s">
        <v>391</v>
      </c>
      <c r="G348" s="8">
        <v>66734</v>
      </c>
      <c r="H348" s="8">
        <v>24817</v>
      </c>
      <c r="I348" s="8">
        <v>25376</v>
      </c>
      <c r="J348" s="9">
        <v>37561</v>
      </c>
      <c r="K348" s="8">
        <f>SUM(Table1[[#This Row],[Sales (Q1)]:[Sales (Q4)]])</f>
        <v>154488</v>
      </c>
      <c r="L348" s="2" t="str">
        <f>IF(Table1[[#This Row],[Employee Total Sales]]&gt;=200000,"High Performer",IF(Table1[[#This Row],[Employee Total Sales]]&gt;=180000,"Mid Performer","Low Performer"))</f>
        <v>Low Performer</v>
      </c>
      <c r="M348" s="2" t="str">
        <f>IF(Table1[[#This Row],[Sales Performance]]="High Performer","Eligible for Promotion",IF(Table1[[#This Row],[Sales Performance]]="Low Performer","Review Cause Effect","Room For Growth"))</f>
        <v>Review Cause Effect</v>
      </c>
    </row>
    <row r="349" spans="1:13" x14ac:dyDescent="0.35">
      <c r="A349">
        <v>364</v>
      </c>
      <c r="B349" t="s">
        <v>670</v>
      </c>
      <c r="C349" t="s">
        <v>11</v>
      </c>
      <c r="D349" t="s">
        <v>20</v>
      </c>
      <c r="E349" s="14" t="s">
        <v>1736</v>
      </c>
      <c r="F349" t="s">
        <v>1651</v>
      </c>
      <c r="G349" s="8">
        <v>47014</v>
      </c>
      <c r="H349" s="8">
        <v>37026</v>
      </c>
      <c r="I349" s="8">
        <v>30205</v>
      </c>
      <c r="J349" s="9">
        <v>39894</v>
      </c>
      <c r="K349" s="8">
        <f>SUM(Table1[[#This Row],[Sales (Q1)]:[Sales (Q4)]])</f>
        <v>154139</v>
      </c>
      <c r="L349" s="2" t="str">
        <f>IF(Table1[[#This Row],[Employee Total Sales]]&gt;=200000,"High Performer",IF(Table1[[#This Row],[Employee Total Sales]]&gt;=180000,"Mid Performer","Low Performer"))</f>
        <v>Low Performer</v>
      </c>
      <c r="M349" s="2" t="str">
        <f>IF(Table1[[#This Row],[Sales Performance]]="High Performer","Eligible for Promotion",IF(Table1[[#This Row],[Sales Performance]]="Low Performer","Review Cause Effect","Room For Growth"))</f>
        <v>Review Cause Effect</v>
      </c>
    </row>
    <row r="350" spans="1:13" x14ac:dyDescent="0.35">
      <c r="A350">
        <v>573</v>
      </c>
      <c r="B350" t="s">
        <v>464</v>
      </c>
      <c r="C350" t="s">
        <v>55</v>
      </c>
      <c r="D350" t="s">
        <v>28</v>
      </c>
      <c r="E350" s="14" t="s">
        <v>1159</v>
      </c>
      <c r="F350" t="s">
        <v>1652</v>
      </c>
      <c r="G350" s="8">
        <v>31615</v>
      </c>
      <c r="H350" s="8">
        <v>39277</v>
      </c>
      <c r="I350" s="8">
        <v>28136</v>
      </c>
      <c r="J350" s="9">
        <v>55039</v>
      </c>
      <c r="K350" s="8">
        <f>SUM(Table1[[#This Row],[Sales (Q1)]:[Sales (Q4)]])</f>
        <v>154067</v>
      </c>
      <c r="L350" s="2" t="str">
        <f>IF(Table1[[#This Row],[Employee Total Sales]]&gt;=200000,"High Performer",IF(Table1[[#This Row],[Employee Total Sales]]&gt;=180000,"Mid Performer","Low Performer"))</f>
        <v>Low Performer</v>
      </c>
      <c r="M350" s="2" t="str">
        <f>IF(Table1[[#This Row],[Sales Performance]]="High Performer","Eligible for Promotion",IF(Table1[[#This Row],[Sales Performance]]="Low Performer","Review Cause Effect","Room For Growth"))</f>
        <v>Review Cause Effect</v>
      </c>
    </row>
    <row r="351" spans="1:13" x14ac:dyDescent="0.35">
      <c r="A351">
        <v>209</v>
      </c>
      <c r="B351" t="s">
        <v>324</v>
      </c>
      <c r="C351" t="s">
        <v>111</v>
      </c>
      <c r="D351" t="s">
        <v>20</v>
      </c>
      <c r="E351" s="14" t="s">
        <v>325</v>
      </c>
      <c r="F351" t="s">
        <v>1653</v>
      </c>
      <c r="G351" s="8">
        <v>22756</v>
      </c>
      <c r="H351" s="8">
        <v>38850</v>
      </c>
      <c r="I351" s="8">
        <v>66801</v>
      </c>
      <c r="J351" s="9">
        <v>25179</v>
      </c>
      <c r="K351" s="8">
        <f>SUM(Table1[[#This Row],[Sales (Q1)]:[Sales (Q4)]])</f>
        <v>153586</v>
      </c>
      <c r="L351" s="2" t="str">
        <f>IF(Table1[[#This Row],[Employee Total Sales]]&gt;=200000,"High Performer",IF(Table1[[#This Row],[Employee Total Sales]]&gt;=180000,"Mid Performer","Low Performer"))</f>
        <v>Low Performer</v>
      </c>
      <c r="M351" s="2" t="str">
        <f>IF(Table1[[#This Row],[Sales Performance]]="High Performer","Eligible for Promotion",IF(Table1[[#This Row],[Sales Performance]]="Low Performer","Review Cause Effect","Room For Growth"))</f>
        <v>Review Cause Effect</v>
      </c>
    </row>
    <row r="352" spans="1:13" x14ac:dyDescent="0.35">
      <c r="A352">
        <v>362</v>
      </c>
      <c r="B352" t="s">
        <v>80</v>
      </c>
      <c r="C352" t="s">
        <v>39</v>
      </c>
      <c r="D352" t="s">
        <v>43</v>
      </c>
      <c r="E352" s="14" t="s">
        <v>1654</v>
      </c>
      <c r="F352" t="s">
        <v>1655</v>
      </c>
      <c r="G352" s="8">
        <v>37200</v>
      </c>
      <c r="H352" s="8">
        <v>60507</v>
      </c>
      <c r="I352" s="8">
        <v>30176</v>
      </c>
      <c r="J352" s="9">
        <v>25525</v>
      </c>
      <c r="K352" s="8">
        <f>SUM(Table1[[#This Row],[Sales (Q1)]:[Sales (Q4)]])</f>
        <v>153408</v>
      </c>
      <c r="L352" s="2" t="str">
        <f>IF(Table1[[#This Row],[Employee Total Sales]]&gt;=200000,"High Performer",IF(Table1[[#This Row],[Employee Total Sales]]&gt;=180000,"Mid Performer","Low Performer"))</f>
        <v>Low Performer</v>
      </c>
      <c r="M352" s="2" t="str">
        <f>IF(Table1[[#This Row],[Sales Performance]]="High Performer","Eligible for Promotion",IF(Table1[[#This Row],[Sales Performance]]="Low Performer","Review Cause Effect","Room For Growth"))</f>
        <v>Review Cause Effect</v>
      </c>
    </row>
    <row r="353" spans="1:13" x14ac:dyDescent="0.35">
      <c r="A353">
        <v>536</v>
      </c>
      <c r="B353" t="s">
        <v>419</v>
      </c>
      <c r="C353" t="s">
        <v>39</v>
      </c>
      <c r="D353" t="s">
        <v>43</v>
      </c>
      <c r="E353" s="14" t="s">
        <v>1044</v>
      </c>
      <c r="F353" t="s">
        <v>1656</v>
      </c>
      <c r="G353" s="8">
        <v>39531</v>
      </c>
      <c r="H353" s="8">
        <v>45555</v>
      </c>
      <c r="I353" s="8">
        <v>26471</v>
      </c>
      <c r="J353" s="9">
        <v>40974</v>
      </c>
      <c r="K353" s="8">
        <f>SUM(Table1[[#This Row],[Sales (Q1)]:[Sales (Q4)]])</f>
        <v>152531</v>
      </c>
      <c r="L353" s="2" t="str">
        <f>IF(Table1[[#This Row],[Employee Total Sales]]&gt;=200000,"High Performer",IF(Table1[[#This Row],[Employee Total Sales]]&gt;=180000,"Mid Performer","Low Performer"))</f>
        <v>Low Performer</v>
      </c>
      <c r="M353" s="2" t="str">
        <f>IF(Table1[[#This Row],[Sales Performance]]="High Performer","Eligible for Promotion",IF(Table1[[#This Row],[Sales Performance]]="Low Performer","Review Cause Effect","Room For Growth"))</f>
        <v>Review Cause Effect</v>
      </c>
    </row>
    <row r="354" spans="1:13" x14ac:dyDescent="0.35">
      <c r="A354">
        <v>233</v>
      </c>
      <c r="B354" t="s">
        <v>383</v>
      </c>
      <c r="C354" t="s">
        <v>55</v>
      </c>
      <c r="D354" t="s">
        <v>28</v>
      </c>
      <c r="E354" s="14" t="s">
        <v>1657</v>
      </c>
      <c r="F354" t="s">
        <v>1658</v>
      </c>
      <c r="G354" s="8">
        <v>25042</v>
      </c>
      <c r="H354" s="8">
        <v>39613</v>
      </c>
      <c r="I354" s="8">
        <v>30646</v>
      </c>
      <c r="J354" s="9">
        <v>56959</v>
      </c>
      <c r="K354" s="8">
        <f>SUM(Table1[[#This Row],[Sales (Q1)]:[Sales (Q4)]])</f>
        <v>152260</v>
      </c>
      <c r="L354" s="2" t="str">
        <f>IF(Table1[[#This Row],[Employee Total Sales]]&gt;=200000,"High Performer",IF(Table1[[#This Row],[Employee Total Sales]]&gt;=180000,"Mid Performer","Low Performer"))</f>
        <v>Low Performer</v>
      </c>
      <c r="M354" s="2" t="str">
        <f>IF(Table1[[#This Row],[Sales Performance]]="High Performer","Eligible for Promotion",IF(Table1[[#This Row],[Sales Performance]]="Low Performer","Review Cause Effect","Room For Growth"))</f>
        <v>Review Cause Effect</v>
      </c>
    </row>
    <row r="355" spans="1:13" x14ac:dyDescent="0.35">
      <c r="A355">
        <v>167</v>
      </c>
      <c r="B355" t="s">
        <v>209</v>
      </c>
      <c r="C355" t="s">
        <v>16</v>
      </c>
      <c r="D355" t="s">
        <v>43</v>
      </c>
      <c r="E355" s="14" t="s">
        <v>1173</v>
      </c>
      <c r="F355" t="s">
        <v>1659</v>
      </c>
      <c r="G355" s="8">
        <v>25978</v>
      </c>
      <c r="H355" s="8">
        <v>74511</v>
      </c>
      <c r="I355" s="8">
        <v>25594</v>
      </c>
      <c r="J355" s="9">
        <v>26109</v>
      </c>
      <c r="K355" s="8">
        <f>SUM(Table1[[#This Row],[Sales (Q1)]:[Sales (Q4)]])</f>
        <v>152192</v>
      </c>
      <c r="L355" s="2" t="str">
        <f>IF(Table1[[#This Row],[Employee Total Sales]]&gt;=200000,"High Performer",IF(Table1[[#This Row],[Employee Total Sales]]&gt;=180000,"Mid Performer","Low Performer"))</f>
        <v>Low Performer</v>
      </c>
      <c r="M355" s="2" t="str">
        <f>IF(Table1[[#This Row],[Sales Performance]]="High Performer","Eligible for Promotion",IF(Table1[[#This Row],[Sales Performance]]="Low Performer","Review Cause Effect","Room For Growth"))</f>
        <v>Review Cause Effect</v>
      </c>
    </row>
    <row r="356" spans="1:13" x14ac:dyDescent="0.35">
      <c r="A356">
        <v>571</v>
      </c>
      <c r="B356" t="s">
        <v>515</v>
      </c>
      <c r="C356" t="s">
        <v>11</v>
      </c>
      <c r="D356" t="s">
        <v>28</v>
      </c>
      <c r="E356" s="14" t="s">
        <v>516</v>
      </c>
      <c r="F356" t="s">
        <v>1660</v>
      </c>
      <c r="G356" s="8">
        <v>49552</v>
      </c>
      <c r="H356" s="8">
        <v>30802</v>
      </c>
      <c r="I356" s="8">
        <v>36565</v>
      </c>
      <c r="J356" s="9">
        <v>33590</v>
      </c>
      <c r="K356" s="8">
        <f>SUM(Table1[[#This Row],[Sales (Q1)]:[Sales (Q4)]])</f>
        <v>150509</v>
      </c>
      <c r="L356" s="2" t="str">
        <f>IF(Table1[[#This Row],[Employee Total Sales]]&gt;=200000,"High Performer",IF(Table1[[#This Row],[Employee Total Sales]]&gt;=180000,"Mid Performer","Low Performer"))</f>
        <v>Low Performer</v>
      </c>
      <c r="M356" s="2" t="str">
        <f>IF(Table1[[#This Row],[Sales Performance]]="High Performer","Eligible for Promotion",IF(Table1[[#This Row],[Sales Performance]]="Low Performer","Review Cause Effect","Room For Growth"))</f>
        <v>Review Cause Effect</v>
      </c>
    </row>
    <row r="357" spans="1:13" x14ac:dyDescent="0.35">
      <c r="A357">
        <v>282</v>
      </c>
      <c r="B357" t="s">
        <v>504</v>
      </c>
      <c r="C357" t="s">
        <v>11</v>
      </c>
      <c r="D357" t="s">
        <v>43</v>
      </c>
      <c r="E357" s="14" t="s">
        <v>1661</v>
      </c>
      <c r="F357" t="s">
        <v>1662</v>
      </c>
      <c r="G357" s="8">
        <v>26822</v>
      </c>
      <c r="H357" s="8">
        <v>52517</v>
      </c>
      <c r="I357" s="8">
        <v>29217</v>
      </c>
      <c r="J357" s="9">
        <v>41703</v>
      </c>
      <c r="K357" s="8">
        <f>SUM(Table1[[#This Row],[Sales (Q1)]:[Sales (Q4)]])</f>
        <v>150259</v>
      </c>
      <c r="L357" s="2" t="str">
        <f>IF(Table1[[#This Row],[Employee Total Sales]]&gt;=200000,"High Performer",IF(Table1[[#This Row],[Employee Total Sales]]&gt;=180000,"Mid Performer","Low Performer"))</f>
        <v>Low Performer</v>
      </c>
      <c r="M357" s="2" t="str">
        <f>IF(Table1[[#This Row],[Sales Performance]]="High Performer","Eligible for Promotion",IF(Table1[[#This Row],[Sales Performance]]="Low Performer","Review Cause Effect","Room For Growth"))</f>
        <v>Review Cause Effect</v>
      </c>
    </row>
    <row r="358" spans="1:13" x14ac:dyDescent="0.35">
      <c r="A358">
        <v>179</v>
      </c>
      <c r="B358" t="s">
        <v>60</v>
      </c>
      <c r="C358" t="s">
        <v>55</v>
      </c>
      <c r="D358" t="s">
        <v>43</v>
      </c>
      <c r="E358" s="14" t="s">
        <v>1402</v>
      </c>
      <c r="F358" t="s">
        <v>1663</v>
      </c>
      <c r="G358" s="8">
        <v>24319</v>
      </c>
      <c r="H358" s="8">
        <v>41606</v>
      </c>
      <c r="I358" s="8">
        <v>26193</v>
      </c>
      <c r="J358" s="9">
        <v>56566</v>
      </c>
      <c r="K358" s="8">
        <f>SUM(Table1[[#This Row],[Sales (Q1)]:[Sales (Q4)]])</f>
        <v>148684</v>
      </c>
      <c r="L358" s="2" t="str">
        <f>IF(Table1[[#This Row],[Employee Total Sales]]&gt;=200000,"High Performer",IF(Table1[[#This Row],[Employee Total Sales]]&gt;=180000,"Mid Performer","Low Performer"))</f>
        <v>Low Performer</v>
      </c>
      <c r="M358" s="2" t="str">
        <f>IF(Table1[[#This Row],[Sales Performance]]="High Performer","Eligible for Promotion",IF(Table1[[#This Row],[Sales Performance]]="Low Performer","Review Cause Effect","Room For Growth"))</f>
        <v>Review Cause Effect</v>
      </c>
    </row>
    <row r="359" spans="1:13" x14ac:dyDescent="0.35">
      <c r="A359">
        <v>550</v>
      </c>
      <c r="B359" t="s">
        <v>193</v>
      </c>
      <c r="C359" t="s">
        <v>55</v>
      </c>
      <c r="D359" t="s">
        <v>28</v>
      </c>
      <c r="E359" s="14" t="s">
        <v>254</v>
      </c>
      <c r="F359" t="s">
        <v>1070</v>
      </c>
      <c r="G359" s="8">
        <v>29022</v>
      </c>
      <c r="H359" s="8">
        <v>72233</v>
      </c>
      <c r="I359" s="8">
        <v>22888</v>
      </c>
      <c r="J359" s="9">
        <v>23964</v>
      </c>
      <c r="K359" s="8">
        <f>SUM(Table1[[#This Row],[Sales (Q1)]:[Sales (Q4)]])</f>
        <v>148107</v>
      </c>
      <c r="L359" s="2" t="str">
        <f>IF(Table1[[#This Row],[Employee Total Sales]]&gt;=200000,"High Performer",IF(Table1[[#This Row],[Employee Total Sales]]&gt;=180000,"Mid Performer","Low Performer"))</f>
        <v>Low Performer</v>
      </c>
      <c r="M359" s="2" t="str">
        <f>IF(Table1[[#This Row],[Sales Performance]]="High Performer","Eligible for Promotion",IF(Table1[[#This Row],[Sales Performance]]="Low Performer","Review Cause Effect","Room For Growth"))</f>
        <v>Review Cause Effect</v>
      </c>
    </row>
    <row r="360" spans="1:13" x14ac:dyDescent="0.35">
      <c r="A360">
        <v>113</v>
      </c>
      <c r="B360" t="s">
        <v>46</v>
      </c>
      <c r="C360" t="s">
        <v>55</v>
      </c>
      <c r="D360" t="s">
        <v>28</v>
      </c>
      <c r="E360" s="14" t="s">
        <v>47</v>
      </c>
      <c r="F360" t="s">
        <v>56</v>
      </c>
      <c r="G360" s="8">
        <v>44836</v>
      </c>
      <c r="H360" s="8">
        <v>20141</v>
      </c>
      <c r="I360" s="8">
        <v>45586</v>
      </c>
      <c r="J360" s="9">
        <v>37380</v>
      </c>
      <c r="K360" s="8">
        <f>SUM(Table1[[#This Row],[Sales (Q1)]:[Sales (Q4)]])</f>
        <v>147943</v>
      </c>
      <c r="L360" s="2" t="str">
        <f>IF(Table1[[#This Row],[Employee Total Sales]]&gt;=200000,"High Performer",IF(Table1[[#This Row],[Employee Total Sales]]&gt;=180000,"Mid Performer","Low Performer"))</f>
        <v>Low Performer</v>
      </c>
      <c r="M360" s="2" t="str">
        <f>IF(Table1[[#This Row],[Sales Performance]]="High Performer","Eligible for Promotion",IF(Table1[[#This Row],[Sales Performance]]="Low Performer","Review Cause Effect","Room For Growth"))</f>
        <v>Review Cause Effect</v>
      </c>
    </row>
    <row r="361" spans="1:13" x14ac:dyDescent="0.35">
      <c r="A361">
        <v>271</v>
      </c>
      <c r="B361" t="s">
        <v>478</v>
      </c>
      <c r="C361" t="s">
        <v>55</v>
      </c>
      <c r="D361" t="s">
        <v>28</v>
      </c>
      <c r="E361" s="14" t="s">
        <v>1664</v>
      </c>
      <c r="F361" t="s">
        <v>1665</v>
      </c>
      <c r="G361" s="8">
        <v>49671</v>
      </c>
      <c r="H361" s="8">
        <v>37822</v>
      </c>
      <c r="I361" s="8">
        <v>35309</v>
      </c>
      <c r="J361" s="9">
        <v>24894</v>
      </c>
      <c r="K361" s="8">
        <f>SUM(Table1[[#This Row],[Sales (Q1)]:[Sales (Q4)]])</f>
        <v>147696</v>
      </c>
      <c r="L361" s="2" t="str">
        <f>IF(Table1[[#This Row],[Employee Total Sales]]&gt;=200000,"High Performer",IF(Table1[[#This Row],[Employee Total Sales]]&gt;=180000,"Mid Performer","Low Performer"))</f>
        <v>Low Performer</v>
      </c>
      <c r="M361" s="2" t="str">
        <f>IF(Table1[[#This Row],[Sales Performance]]="High Performer","Eligible for Promotion",IF(Table1[[#This Row],[Sales Performance]]="Low Performer","Review Cause Effect","Room For Growth"))</f>
        <v>Review Cause Effect</v>
      </c>
    </row>
    <row r="362" spans="1:13" x14ac:dyDescent="0.35">
      <c r="A362">
        <v>389</v>
      </c>
      <c r="B362" t="s">
        <v>10</v>
      </c>
      <c r="C362" t="s">
        <v>111</v>
      </c>
      <c r="D362" t="s">
        <v>20</v>
      </c>
      <c r="E362" s="14" t="s">
        <v>13</v>
      </c>
      <c r="F362" t="s">
        <v>1666</v>
      </c>
      <c r="G362" s="8">
        <v>66692</v>
      </c>
      <c r="H362" s="8">
        <v>21408</v>
      </c>
      <c r="I362" s="8">
        <v>22605</v>
      </c>
      <c r="J362" s="9">
        <v>36213</v>
      </c>
      <c r="K362" s="8">
        <f>SUM(Table1[[#This Row],[Sales (Q1)]:[Sales (Q4)]])</f>
        <v>146918</v>
      </c>
      <c r="L362" s="2" t="str">
        <f>IF(Table1[[#This Row],[Employee Total Sales]]&gt;=200000,"High Performer",IF(Table1[[#This Row],[Employee Total Sales]]&gt;=180000,"Mid Performer","Low Performer"))</f>
        <v>Low Performer</v>
      </c>
      <c r="M362" s="2" t="str">
        <f>IF(Table1[[#This Row],[Sales Performance]]="High Performer","Eligible for Promotion",IF(Table1[[#This Row],[Sales Performance]]="Low Performer","Review Cause Effect","Room For Growth"))</f>
        <v>Review Cause Effect</v>
      </c>
    </row>
    <row r="363" spans="1:13" x14ac:dyDescent="0.35">
      <c r="A363">
        <v>279</v>
      </c>
      <c r="B363" t="s">
        <v>470</v>
      </c>
      <c r="C363" t="s">
        <v>32</v>
      </c>
      <c r="D363" t="s">
        <v>12</v>
      </c>
      <c r="E363" s="14" t="s">
        <v>1390</v>
      </c>
      <c r="F363" t="s">
        <v>1667</v>
      </c>
      <c r="G363" s="8">
        <v>40254</v>
      </c>
      <c r="H363" s="8">
        <v>31505</v>
      </c>
      <c r="I363" s="8">
        <v>52141</v>
      </c>
      <c r="J363" s="9">
        <v>22487</v>
      </c>
      <c r="K363" s="8">
        <f>SUM(Table1[[#This Row],[Sales (Q1)]:[Sales (Q4)]])</f>
        <v>146387</v>
      </c>
      <c r="L363" s="2" t="str">
        <f>IF(Table1[[#This Row],[Employee Total Sales]]&gt;=200000,"High Performer",IF(Table1[[#This Row],[Employee Total Sales]]&gt;=180000,"Mid Performer","Low Performer"))</f>
        <v>Low Performer</v>
      </c>
      <c r="M363" s="2" t="str">
        <f>IF(Table1[[#This Row],[Sales Performance]]="High Performer","Eligible for Promotion",IF(Table1[[#This Row],[Sales Performance]]="Low Performer","Review Cause Effect","Room For Growth"))</f>
        <v>Review Cause Effect</v>
      </c>
    </row>
    <row r="364" spans="1:13" x14ac:dyDescent="0.35">
      <c r="A364">
        <v>499</v>
      </c>
      <c r="B364" t="s">
        <v>969</v>
      </c>
      <c r="C364" t="s">
        <v>55</v>
      </c>
      <c r="D364" t="s">
        <v>28</v>
      </c>
      <c r="E364" s="14" t="s">
        <v>1668</v>
      </c>
      <c r="F364" t="s">
        <v>1669</v>
      </c>
      <c r="G364" s="8">
        <v>56503</v>
      </c>
      <c r="H364" s="8">
        <v>23850</v>
      </c>
      <c r="I364" s="8">
        <v>23415</v>
      </c>
      <c r="J364" s="9">
        <v>41814</v>
      </c>
      <c r="K364" s="8">
        <f>SUM(Table1[[#This Row],[Sales (Q1)]:[Sales (Q4)]])</f>
        <v>145582</v>
      </c>
      <c r="L364" s="2" t="str">
        <f>IF(Table1[[#This Row],[Employee Total Sales]]&gt;=200000,"High Performer",IF(Table1[[#This Row],[Employee Total Sales]]&gt;=180000,"Mid Performer","Low Performer"))</f>
        <v>Low Performer</v>
      </c>
      <c r="M364" s="2" t="str">
        <f>IF(Table1[[#This Row],[Sales Performance]]="High Performer","Eligible for Promotion",IF(Table1[[#This Row],[Sales Performance]]="Low Performer","Review Cause Effect","Room For Growth"))</f>
        <v>Review Cause Effect</v>
      </c>
    </row>
    <row r="365" spans="1:13" x14ac:dyDescent="0.35">
      <c r="A365">
        <v>475</v>
      </c>
      <c r="B365" t="s">
        <v>521</v>
      </c>
      <c r="C365" t="s">
        <v>55</v>
      </c>
      <c r="D365" t="s">
        <v>20</v>
      </c>
      <c r="E365" s="14" t="s">
        <v>1670</v>
      </c>
      <c r="F365" t="s">
        <v>926</v>
      </c>
      <c r="G365" s="8">
        <v>24240</v>
      </c>
      <c r="H365" s="8">
        <v>43836</v>
      </c>
      <c r="I365" s="8">
        <v>33047</v>
      </c>
      <c r="J365" s="9">
        <v>42192</v>
      </c>
      <c r="K365" s="8">
        <f>SUM(Table1[[#This Row],[Sales (Q1)]:[Sales (Q4)]])</f>
        <v>143315</v>
      </c>
      <c r="L365" s="2" t="str">
        <f>IF(Table1[[#This Row],[Employee Total Sales]]&gt;=200000,"High Performer",IF(Table1[[#This Row],[Employee Total Sales]]&gt;=180000,"Mid Performer","Low Performer"))</f>
        <v>Low Performer</v>
      </c>
      <c r="M365" s="2" t="str">
        <f>IF(Table1[[#This Row],[Sales Performance]]="High Performer","Eligible for Promotion",IF(Table1[[#This Row],[Sales Performance]]="Low Performer","Review Cause Effect","Room For Growth"))</f>
        <v>Review Cause Effect</v>
      </c>
    </row>
    <row r="366" spans="1:13" x14ac:dyDescent="0.35">
      <c r="A366">
        <v>530</v>
      </c>
      <c r="B366" t="s">
        <v>232</v>
      </c>
      <c r="C366" t="s">
        <v>16</v>
      </c>
      <c r="D366" t="s">
        <v>20</v>
      </c>
      <c r="E366" s="14" t="s">
        <v>1032</v>
      </c>
      <c r="F366" t="s">
        <v>1671</v>
      </c>
      <c r="G366" s="8">
        <v>30046</v>
      </c>
      <c r="H366" s="8">
        <v>27716</v>
      </c>
      <c r="I366" s="8">
        <v>44344</v>
      </c>
      <c r="J366" s="9">
        <v>39983</v>
      </c>
      <c r="K366" s="8">
        <f>SUM(Table1[[#This Row],[Sales (Q1)]:[Sales (Q4)]])</f>
        <v>142089</v>
      </c>
      <c r="L366" s="2" t="str">
        <f>IF(Table1[[#This Row],[Employee Total Sales]]&gt;=200000,"High Performer",IF(Table1[[#This Row],[Employee Total Sales]]&gt;=180000,"Mid Performer","Low Performer"))</f>
        <v>Low Performer</v>
      </c>
      <c r="M366" s="2" t="str">
        <f>IF(Table1[[#This Row],[Sales Performance]]="High Performer","Eligible for Promotion",IF(Table1[[#This Row],[Sales Performance]]="Low Performer","Review Cause Effect","Room For Growth"))</f>
        <v>Review Cause Effect</v>
      </c>
    </row>
    <row r="367" spans="1:13" x14ac:dyDescent="0.35">
      <c r="A367">
        <v>303</v>
      </c>
      <c r="B367" t="s">
        <v>550</v>
      </c>
      <c r="C367" t="s">
        <v>111</v>
      </c>
      <c r="D367" t="s">
        <v>20</v>
      </c>
      <c r="E367" s="14" t="s">
        <v>1723</v>
      </c>
      <c r="F367" t="s">
        <v>1672</v>
      </c>
      <c r="G367" s="8">
        <v>20308</v>
      </c>
      <c r="H367" s="8">
        <v>49625</v>
      </c>
      <c r="I367" s="8">
        <v>37925</v>
      </c>
      <c r="J367" s="9">
        <v>33722</v>
      </c>
      <c r="K367" s="8">
        <f>SUM(Table1[[#This Row],[Sales (Q1)]:[Sales (Q4)]])</f>
        <v>141580</v>
      </c>
      <c r="L367" s="2" t="str">
        <f>IF(Table1[[#This Row],[Employee Total Sales]]&gt;=200000,"High Performer",IF(Table1[[#This Row],[Employee Total Sales]]&gt;=180000,"Mid Performer","Low Performer"))</f>
        <v>Low Performer</v>
      </c>
      <c r="M367" s="2" t="str">
        <f>IF(Table1[[#This Row],[Sales Performance]]="High Performer","Eligible for Promotion",IF(Table1[[#This Row],[Sales Performance]]="Low Performer","Review Cause Effect","Room For Growth"))</f>
        <v>Review Cause Effect</v>
      </c>
    </row>
    <row r="368" spans="1:13" x14ac:dyDescent="0.35">
      <c r="A368">
        <v>174</v>
      </c>
      <c r="B368" t="s">
        <v>137</v>
      </c>
      <c r="C368" t="s">
        <v>27</v>
      </c>
      <c r="D368" t="s">
        <v>28</v>
      </c>
      <c r="E368" s="14" t="s">
        <v>280</v>
      </c>
      <c r="F368" t="s">
        <v>1673</v>
      </c>
      <c r="G368" s="8">
        <v>46544</v>
      </c>
      <c r="H368" s="8">
        <v>21366</v>
      </c>
      <c r="I368" s="8">
        <v>41284</v>
      </c>
      <c r="J368" s="9">
        <v>31263</v>
      </c>
      <c r="K368" s="8">
        <f>SUM(Table1[[#This Row],[Sales (Q1)]:[Sales (Q4)]])</f>
        <v>140457</v>
      </c>
      <c r="L368" s="2" t="str">
        <f>IF(Table1[[#This Row],[Employee Total Sales]]&gt;=200000,"High Performer",IF(Table1[[#This Row],[Employee Total Sales]]&gt;=180000,"Mid Performer","Low Performer"))</f>
        <v>Low Performer</v>
      </c>
      <c r="M368" s="2" t="str">
        <f>IF(Table1[[#This Row],[Sales Performance]]="High Performer","Eligible for Promotion",IF(Table1[[#This Row],[Sales Performance]]="Low Performer","Review Cause Effect","Room For Growth"))</f>
        <v>Review Cause Effect</v>
      </c>
    </row>
    <row r="369" spans="1:13" x14ac:dyDescent="0.35">
      <c r="A369">
        <v>309</v>
      </c>
      <c r="B369" t="s">
        <v>565</v>
      </c>
      <c r="C369" t="s">
        <v>39</v>
      </c>
      <c r="D369" t="s">
        <v>43</v>
      </c>
      <c r="E369" s="14" t="s">
        <v>566</v>
      </c>
      <c r="F369" t="s">
        <v>1674</v>
      </c>
      <c r="G369" s="8">
        <v>35368</v>
      </c>
      <c r="H369" s="8">
        <v>20179</v>
      </c>
      <c r="I369" s="8">
        <v>20835</v>
      </c>
      <c r="J369" s="9">
        <v>64016</v>
      </c>
      <c r="K369" s="8">
        <f>SUM(Table1[[#This Row],[Sales (Q1)]:[Sales (Q4)]])</f>
        <v>140398</v>
      </c>
      <c r="L369" s="2" t="str">
        <f>IF(Table1[[#This Row],[Employee Total Sales]]&gt;=200000,"High Performer",IF(Table1[[#This Row],[Employee Total Sales]]&gt;=180000,"Mid Performer","Low Performer"))</f>
        <v>Low Performer</v>
      </c>
      <c r="M369" s="2" t="str">
        <f>IF(Table1[[#This Row],[Sales Performance]]="High Performer","Eligible for Promotion",IF(Table1[[#This Row],[Sales Performance]]="Low Performer","Review Cause Effect","Room For Growth"))</f>
        <v>Review Cause Effect</v>
      </c>
    </row>
    <row r="370" spans="1:13" x14ac:dyDescent="0.35">
      <c r="A370">
        <v>177</v>
      </c>
      <c r="B370" t="s">
        <v>235</v>
      </c>
      <c r="C370" t="s">
        <v>27</v>
      </c>
      <c r="D370" t="s">
        <v>12</v>
      </c>
      <c r="E370" s="14" t="s">
        <v>236</v>
      </c>
      <c r="F370" t="s">
        <v>1675</v>
      </c>
      <c r="G370" s="8">
        <v>49616</v>
      </c>
      <c r="H370" s="8">
        <v>22464</v>
      </c>
      <c r="I370" s="8">
        <v>23728</v>
      </c>
      <c r="J370" s="9">
        <v>44165</v>
      </c>
      <c r="K370" s="8">
        <f>SUM(Table1[[#This Row],[Sales (Q1)]:[Sales (Q4)]])</f>
        <v>139973</v>
      </c>
      <c r="L370" s="2" t="str">
        <f>IF(Table1[[#This Row],[Employee Total Sales]]&gt;=200000,"High Performer",IF(Table1[[#This Row],[Employee Total Sales]]&gt;=180000,"Mid Performer","Low Performer"))</f>
        <v>Low Performer</v>
      </c>
      <c r="M370" s="2" t="str">
        <f>IF(Table1[[#This Row],[Sales Performance]]="High Performer","Eligible for Promotion",IF(Table1[[#This Row],[Sales Performance]]="Low Performer","Review Cause Effect","Room For Growth"))</f>
        <v>Review Cause Effect</v>
      </c>
    </row>
    <row r="371" spans="1:13" x14ac:dyDescent="0.35">
      <c r="A371">
        <v>337</v>
      </c>
      <c r="B371" t="s">
        <v>628</v>
      </c>
      <c r="C371" t="s">
        <v>27</v>
      </c>
      <c r="D371" t="s">
        <v>43</v>
      </c>
      <c r="E371" s="14" t="s">
        <v>1714</v>
      </c>
      <c r="F371" t="s">
        <v>1676</v>
      </c>
      <c r="G371" s="8">
        <v>37324</v>
      </c>
      <c r="H371" s="8">
        <v>44211</v>
      </c>
      <c r="I371" s="8">
        <v>35336</v>
      </c>
      <c r="J371" s="9">
        <v>22805</v>
      </c>
      <c r="K371" s="8">
        <f>SUM(Table1[[#This Row],[Sales (Q1)]:[Sales (Q4)]])</f>
        <v>139676</v>
      </c>
      <c r="L371" s="2" t="str">
        <f>IF(Table1[[#This Row],[Employee Total Sales]]&gt;=200000,"High Performer",IF(Table1[[#This Row],[Employee Total Sales]]&gt;=180000,"Mid Performer","Low Performer"))</f>
        <v>Low Performer</v>
      </c>
      <c r="M371" s="2" t="str">
        <f>IF(Table1[[#This Row],[Sales Performance]]="High Performer","Eligible for Promotion",IF(Table1[[#This Row],[Sales Performance]]="Low Performer","Review Cause Effect","Room For Growth"))</f>
        <v>Review Cause Effect</v>
      </c>
    </row>
    <row r="372" spans="1:13" x14ac:dyDescent="0.35">
      <c r="A372">
        <v>349</v>
      </c>
      <c r="B372" t="s">
        <v>86</v>
      </c>
      <c r="C372" t="s">
        <v>11</v>
      </c>
      <c r="D372" t="s">
        <v>28</v>
      </c>
      <c r="E372" s="14" t="s">
        <v>87</v>
      </c>
      <c r="F372" t="s">
        <v>656</v>
      </c>
      <c r="G372" s="8">
        <v>62927</v>
      </c>
      <c r="H372" s="8">
        <v>20018</v>
      </c>
      <c r="I372" s="8">
        <v>30318</v>
      </c>
      <c r="J372" s="9">
        <v>25691</v>
      </c>
      <c r="K372" s="8">
        <f>SUM(Table1[[#This Row],[Sales (Q1)]:[Sales (Q4)]])</f>
        <v>138954</v>
      </c>
      <c r="L372" s="2" t="str">
        <f>IF(Table1[[#This Row],[Employee Total Sales]]&gt;=200000,"High Performer",IF(Table1[[#This Row],[Employee Total Sales]]&gt;=180000,"Mid Performer","Low Performer"))</f>
        <v>Low Performer</v>
      </c>
      <c r="M372" s="2" t="str">
        <f>IF(Table1[[#This Row],[Sales Performance]]="High Performer","Eligible for Promotion",IF(Table1[[#This Row],[Sales Performance]]="Low Performer","Review Cause Effect","Room For Growth"))</f>
        <v>Review Cause Effect</v>
      </c>
    </row>
    <row r="373" spans="1:13" x14ac:dyDescent="0.35">
      <c r="A373">
        <v>172</v>
      </c>
      <c r="B373" t="s">
        <v>72</v>
      </c>
      <c r="C373" t="s">
        <v>111</v>
      </c>
      <c r="D373" t="s">
        <v>43</v>
      </c>
      <c r="E373" s="14" t="s">
        <v>1737</v>
      </c>
      <c r="F373" t="s">
        <v>1677</v>
      </c>
      <c r="G373" s="8">
        <v>59277</v>
      </c>
      <c r="H373" s="8">
        <v>23590</v>
      </c>
      <c r="I373" s="8">
        <v>20503</v>
      </c>
      <c r="J373" s="9">
        <v>33397</v>
      </c>
      <c r="K373" s="8">
        <f>SUM(Table1[[#This Row],[Sales (Q1)]:[Sales (Q4)]])</f>
        <v>136767</v>
      </c>
      <c r="L373" s="2" t="str">
        <f>IF(Table1[[#This Row],[Employee Total Sales]]&gt;=200000,"High Performer",IF(Table1[[#This Row],[Employee Total Sales]]&gt;=180000,"Mid Performer","Low Performer"))</f>
        <v>Low Performer</v>
      </c>
      <c r="M373" s="2" t="str">
        <f>IF(Table1[[#This Row],[Sales Performance]]="High Performer","Eligible for Promotion",IF(Table1[[#This Row],[Sales Performance]]="Low Performer","Review Cause Effect","Room For Growth"))</f>
        <v>Review Cause Effect</v>
      </c>
    </row>
    <row r="374" spans="1:13" x14ac:dyDescent="0.35">
      <c r="A374">
        <v>285</v>
      </c>
      <c r="B374" t="s">
        <v>398</v>
      </c>
      <c r="C374" t="s">
        <v>16</v>
      </c>
      <c r="D374" t="s">
        <v>43</v>
      </c>
      <c r="E374" s="14" t="s">
        <v>1544</v>
      </c>
      <c r="F374" t="s">
        <v>1678</v>
      </c>
      <c r="G374" s="8">
        <v>26636</v>
      </c>
      <c r="H374" s="8">
        <v>41698</v>
      </c>
      <c r="I374" s="8">
        <v>33470</v>
      </c>
      <c r="J374" s="9">
        <v>32450</v>
      </c>
      <c r="K374" s="8">
        <f>SUM(Table1[[#This Row],[Sales (Q1)]:[Sales (Q4)]])</f>
        <v>134254</v>
      </c>
      <c r="L374" s="2" t="str">
        <f>IF(Table1[[#This Row],[Employee Total Sales]]&gt;=200000,"High Performer",IF(Table1[[#This Row],[Employee Total Sales]]&gt;=180000,"Mid Performer","Low Performer"))</f>
        <v>Low Performer</v>
      </c>
      <c r="M374" s="2" t="str">
        <f>IF(Table1[[#This Row],[Sales Performance]]="High Performer","Eligible for Promotion",IF(Table1[[#This Row],[Sales Performance]]="Low Performer","Review Cause Effect","Room For Growth"))</f>
        <v>Review Cause Effect</v>
      </c>
    </row>
    <row r="375" spans="1:13" x14ac:dyDescent="0.35">
      <c r="A375">
        <v>105</v>
      </c>
      <c r="B375" t="s">
        <v>26</v>
      </c>
      <c r="C375" t="s">
        <v>27</v>
      </c>
      <c r="D375" t="s">
        <v>28</v>
      </c>
      <c r="E375" s="14" t="s">
        <v>29</v>
      </c>
      <c r="F375" t="s">
        <v>1679</v>
      </c>
      <c r="G375" s="8">
        <v>29363</v>
      </c>
      <c r="H375" s="8">
        <v>37359</v>
      </c>
      <c r="I375" s="8">
        <v>29150</v>
      </c>
      <c r="J375" s="9">
        <v>36162</v>
      </c>
      <c r="K375" s="8">
        <f>SUM(Table1[[#This Row],[Sales (Q1)]:[Sales (Q4)]])</f>
        <v>132034</v>
      </c>
      <c r="L375" s="2" t="str">
        <f>IF(Table1[[#This Row],[Employee Total Sales]]&gt;=200000,"High Performer",IF(Table1[[#This Row],[Employee Total Sales]]&gt;=180000,"Mid Performer","Low Performer"))</f>
        <v>Low Performer</v>
      </c>
      <c r="M375" s="2" t="str">
        <f>IF(Table1[[#This Row],[Sales Performance]]="High Performer","Eligible for Promotion",IF(Table1[[#This Row],[Sales Performance]]="Low Performer","Review Cause Effect","Room For Growth"))</f>
        <v>Review Cause Effect</v>
      </c>
    </row>
    <row r="376" spans="1:13" x14ac:dyDescent="0.35">
      <c r="A376">
        <v>590</v>
      </c>
      <c r="B376" t="s">
        <v>146</v>
      </c>
      <c r="C376" t="s">
        <v>27</v>
      </c>
      <c r="D376" t="s">
        <v>43</v>
      </c>
      <c r="E376" s="14" t="s">
        <v>1141</v>
      </c>
      <c r="F376" t="s">
        <v>1680</v>
      </c>
      <c r="G376" s="8">
        <v>38137</v>
      </c>
      <c r="H376" s="8">
        <v>24211</v>
      </c>
      <c r="I376" s="8">
        <v>42423</v>
      </c>
      <c r="J376" s="9">
        <v>21944</v>
      </c>
      <c r="K376" s="8">
        <f>SUM(Table1[[#This Row],[Sales (Q1)]:[Sales (Q4)]])</f>
        <v>126715</v>
      </c>
      <c r="L376" s="2" t="str">
        <f>IF(Table1[[#This Row],[Employee Total Sales]]&gt;=200000,"High Performer",IF(Table1[[#This Row],[Employee Total Sales]]&gt;=180000,"Mid Performer","Low Performer"))</f>
        <v>Low Performer</v>
      </c>
      <c r="M376" s="2" t="str">
        <f>IF(Table1[[#This Row],[Sales Performance]]="High Performer","Eligible for Promotion",IF(Table1[[#This Row],[Sales Performance]]="Low Performer","Review Cause Effect","Room For Growth"))</f>
        <v>Review Cause Effect</v>
      </c>
    </row>
    <row r="377" spans="1:13" x14ac:dyDescent="0.35">
      <c r="A377">
        <v>284</v>
      </c>
      <c r="B377" t="s">
        <v>510</v>
      </c>
      <c r="C377" t="s">
        <v>16</v>
      </c>
      <c r="D377" t="s">
        <v>20</v>
      </c>
      <c r="E377" s="14" t="s">
        <v>1681</v>
      </c>
      <c r="F377" t="s">
        <v>1682</v>
      </c>
      <c r="G377" s="8">
        <v>21315</v>
      </c>
      <c r="H377" s="8">
        <v>40887</v>
      </c>
      <c r="I377" s="8">
        <v>37113</v>
      </c>
      <c r="J377" s="9">
        <v>26863</v>
      </c>
      <c r="K377" s="8">
        <f>SUM(Table1[[#This Row],[Sales (Q1)]:[Sales (Q4)]])</f>
        <v>126178</v>
      </c>
      <c r="L377" s="2" t="str">
        <f>IF(Table1[[#This Row],[Employee Total Sales]]&gt;=200000,"High Performer",IF(Table1[[#This Row],[Employee Total Sales]]&gt;=180000,"Mid Performer","Low Performer"))</f>
        <v>Low Performer</v>
      </c>
      <c r="M377" s="2" t="str">
        <f>IF(Table1[[#This Row],[Sales Performance]]="High Performer","Eligible for Promotion",IF(Table1[[#This Row],[Sales Performance]]="Low Performer","Review Cause Effect","Room For Growth"))</f>
        <v>Review Cause Effect</v>
      </c>
    </row>
    <row r="378" spans="1:13" x14ac:dyDescent="0.35">
      <c r="A378">
        <v>321</v>
      </c>
      <c r="B378" t="s">
        <v>591</v>
      </c>
      <c r="C378" t="s">
        <v>32</v>
      </c>
      <c r="D378" t="s">
        <v>12</v>
      </c>
      <c r="E378" s="14" t="s">
        <v>1483</v>
      </c>
      <c r="F378" t="s">
        <v>1683</v>
      </c>
      <c r="G378" s="8">
        <v>26977</v>
      </c>
      <c r="H378" s="8">
        <v>21656</v>
      </c>
      <c r="I378" s="8">
        <v>44960</v>
      </c>
      <c r="J378" s="9">
        <v>29524</v>
      </c>
      <c r="K378" s="8">
        <f>SUM(Table1[[#This Row],[Sales (Q1)]:[Sales (Q4)]])</f>
        <v>123117</v>
      </c>
      <c r="L378" s="2" t="str">
        <f>IF(Table1[[#This Row],[Employee Total Sales]]&gt;=200000,"High Performer",IF(Table1[[#This Row],[Employee Total Sales]]&gt;=180000,"Mid Performer","Low Performer"))</f>
        <v>Low Performer</v>
      </c>
      <c r="M378" s="2" t="str">
        <f>IF(Table1[[#This Row],[Sales Performance]]="High Performer","Eligible for Promotion",IF(Table1[[#This Row],[Sales Performance]]="Low Performer","Review Cause Effect","Room For Growth"))</f>
        <v>Review Cause Effect</v>
      </c>
    </row>
    <row r="379" spans="1:13" x14ac:dyDescent="0.35">
      <c r="A379">
        <v>394</v>
      </c>
      <c r="B379" t="s">
        <v>251</v>
      </c>
      <c r="C379" t="s">
        <v>39</v>
      </c>
      <c r="D379" t="s">
        <v>28</v>
      </c>
      <c r="E379" s="14" t="s">
        <v>754</v>
      </c>
      <c r="F379" t="s">
        <v>755</v>
      </c>
      <c r="G379" s="8">
        <v>30733</v>
      </c>
      <c r="H379" s="8">
        <v>32665</v>
      </c>
      <c r="I379" s="8">
        <v>34829</v>
      </c>
      <c r="J379" s="9">
        <v>22112</v>
      </c>
      <c r="K379" s="8">
        <f>SUM(Table1[[#This Row],[Sales (Q1)]:[Sales (Q4)]])</f>
        <v>120339</v>
      </c>
      <c r="L379" s="2" t="str">
        <f>IF(Table1[[#This Row],[Employee Total Sales]]&gt;=200000,"High Performer",IF(Table1[[#This Row],[Employee Total Sales]]&gt;=180000,"Mid Performer","Low Performer"))</f>
        <v>Low Performer</v>
      </c>
      <c r="M379" s="2" t="str">
        <f>IF(Table1[[#This Row],[Sales Performance]]="High Performer","Eligible for Promotion",IF(Table1[[#This Row],[Sales Performance]]="Low Performer","Review Cause Effect","Room For Growth"))</f>
        <v>Review Cause Effect</v>
      </c>
    </row>
    <row r="380" spans="1:13" x14ac:dyDescent="0.35">
      <c r="A380">
        <v>487</v>
      </c>
      <c r="B380" t="s">
        <v>291</v>
      </c>
      <c r="C380" t="s">
        <v>111</v>
      </c>
      <c r="D380" t="s">
        <v>28</v>
      </c>
      <c r="E380" s="14" t="s">
        <v>1436</v>
      </c>
      <c r="F380" t="s">
        <v>1684</v>
      </c>
      <c r="G380" s="8">
        <v>29827</v>
      </c>
      <c r="H380" s="8">
        <v>32577</v>
      </c>
      <c r="I380" s="8">
        <v>21815</v>
      </c>
      <c r="J380" s="9">
        <v>36094</v>
      </c>
      <c r="K380" s="8">
        <f>SUM(Table1[[#This Row],[Sales (Q1)]:[Sales (Q4)]])</f>
        <v>120313</v>
      </c>
      <c r="L380" s="2" t="str">
        <f>IF(Table1[[#This Row],[Employee Total Sales]]&gt;=200000,"High Performer",IF(Table1[[#This Row],[Employee Total Sales]]&gt;=180000,"Mid Performer","Low Performer"))</f>
        <v>Low Performer</v>
      </c>
      <c r="M380" s="2" t="str">
        <f>IF(Table1[[#This Row],[Sales Performance]]="High Performer","Eligible for Promotion",IF(Table1[[#This Row],[Sales Performance]]="Low Performer","Review Cause Effect","Room For Growth"))</f>
        <v>Review Cause Effect</v>
      </c>
    </row>
    <row r="381" spans="1:13" x14ac:dyDescent="0.35">
      <c r="A381">
        <v>581</v>
      </c>
      <c r="B381" t="s">
        <v>251</v>
      </c>
      <c r="C381" t="s">
        <v>32</v>
      </c>
      <c r="D381" t="s">
        <v>20</v>
      </c>
      <c r="E381" s="14" t="s">
        <v>252</v>
      </c>
      <c r="F381" t="s">
        <v>1125</v>
      </c>
      <c r="G381" s="8">
        <v>33383</v>
      </c>
      <c r="H381" s="8">
        <v>28228</v>
      </c>
      <c r="I381" s="8">
        <v>26013</v>
      </c>
      <c r="J381" s="9">
        <v>31382</v>
      </c>
      <c r="K381" s="8">
        <f>SUM(Table1[[#This Row],[Sales (Q1)]:[Sales (Q4)]])</f>
        <v>119006</v>
      </c>
      <c r="L381" s="2" t="str">
        <f>IF(Table1[[#This Row],[Employee Total Sales]]&gt;=200000,"High Performer",IF(Table1[[#This Row],[Employee Total Sales]]&gt;=180000,"Mid Performer","Low Performer"))</f>
        <v>Low Performer</v>
      </c>
      <c r="M381" s="2" t="str">
        <f>IF(Table1[[#This Row],[Sales Performance]]="High Performer","Eligible for Promotion",IF(Table1[[#This Row],[Sales Performance]]="Low Performer","Review Cause Effect","Room For Growth"))</f>
        <v>Review Cause Effect</v>
      </c>
    </row>
    <row r="382" spans="1:13" x14ac:dyDescent="0.35">
      <c r="A382">
        <v>535</v>
      </c>
      <c r="B382" t="s">
        <v>262</v>
      </c>
      <c r="C382" t="s">
        <v>27</v>
      </c>
      <c r="D382" t="s">
        <v>12</v>
      </c>
      <c r="E382" s="14" t="s">
        <v>1685</v>
      </c>
      <c r="F382" t="s">
        <v>1686</v>
      </c>
      <c r="G382" s="8">
        <v>36854</v>
      </c>
      <c r="H382" s="8">
        <v>25965</v>
      </c>
      <c r="I382" s="8">
        <v>27513</v>
      </c>
      <c r="J382" s="9">
        <v>26509</v>
      </c>
      <c r="K382" s="8">
        <f>SUM(Table1[[#This Row],[Sales (Q1)]:[Sales (Q4)]])</f>
        <v>116841</v>
      </c>
      <c r="L382" s="2" t="str">
        <f>IF(Table1[[#This Row],[Employee Total Sales]]&gt;=200000,"High Performer",IF(Table1[[#This Row],[Employee Total Sales]]&gt;=180000,"Mid Performer","Low Performer"))</f>
        <v>Low Performer</v>
      </c>
      <c r="M382" s="2" t="str">
        <f>IF(Table1[[#This Row],[Sales Performance]]="High Performer","Eligible for Promotion",IF(Table1[[#This Row],[Sales Performance]]="Low Performer","Review Cause Effect","Room For Growth"))</f>
        <v>Review Cause Effect</v>
      </c>
    </row>
    <row r="383" spans="1:13" x14ac:dyDescent="0.35">
      <c r="A383">
        <v>262</v>
      </c>
      <c r="B383" t="s">
        <v>455</v>
      </c>
      <c r="C383" t="s">
        <v>111</v>
      </c>
      <c r="D383" t="s">
        <v>12</v>
      </c>
      <c r="E383" s="14" t="s">
        <v>456</v>
      </c>
      <c r="F383" t="s">
        <v>1687</v>
      </c>
      <c r="G383" s="8">
        <v>20903</v>
      </c>
      <c r="H383" s="8">
        <v>37182</v>
      </c>
      <c r="I383" s="8">
        <v>34138</v>
      </c>
      <c r="J383" s="9">
        <v>22610</v>
      </c>
      <c r="K383" s="8">
        <f>SUM(Table1[[#This Row],[Sales (Q1)]:[Sales (Q4)]])</f>
        <v>114833</v>
      </c>
      <c r="L383" s="2" t="str">
        <f>IF(Table1[[#This Row],[Employee Total Sales]]&gt;=200000,"High Performer",IF(Table1[[#This Row],[Employee Total Sales]]&gt;=180000,"Mid Performer","Low Performer"))</f>
        <v>Low Performer</v>
      </c>
      <c r="M383" s="2" t="str">
        <f>IF(Table1[[#This Row],[Sales Performance]]="High Performer","Eligible for Promotion",IF(Table1[[#This Row],[Sales Performance]]="Low Performer","Review Cause Effect","Room For Growth"))</f>
        <v>Review Cause Effect</v>
      </c>
    </row>
    <row r="384" spans="1:13" x14ac:dyDescent="0.35">
      <c r="A384">
        <v>160</v>
      </c>
      <c r="B384" t="s">
        <v>190</v>
      </c>
      <c r="C384" t="s">
        <v>55</v>
      </c>
      <c r="D384" t="s">
        <v>43</v>
      </c>
      <c r="E384" s="14" t="s">
        <v>1482</v>
      </c>
      <c r="F384" t="s">
        <v>1688</v>
      </c>
      <c r="G384" s="8">
        <v>29160</v>
      </c>
      <c r="H384" s="8">
        <v>22971</v>
      </c>
      <c r="I384" s="8">
        <v>22438</v>
      </c>
      <c r="J384" s="9">
        <v>39946</v>
      </c>
      <c r="K384" s="8">
        <f>SUM(Table1[[#This Row],[Sales (Q1)]:[Sales (Q4)]])</f>
        <v>114515</v>
      </c>
      <c r="L384" s="2" t="str">
        <f>IF(Table1[[#This Row],[Employee Total Sales]]&gt;=200000,"High Performer",IF(Table1[[#This Row],[Employee Total Sales]]&gt;=180000,"Mid Performer","Low Performer"))</f>
        <v>Low Performer</v>
      </c>
      <c r="M384" s="2" t="str">
        <f>IF(Table1[[#This Row],[Sales Performance]]="High Performer","Eligible for Promotion",IF(Table1[[#This Row],[Sales Performance]]="Low Performer","Review Cause Effect","Room For Growth"))</f>
        <v>Review Cause Effect</v>
      </c>
    </row>
    <row r="385" spans="1:13" x14ac:dyDescent="0.35">
      <c r="A385">
        <v>287</v>
      </c>
      <c r="B385" t="s">
        <v>518</v>
      </c>
      <c r="C385" t="s">
        <v>55</v>
      </c>
      <c r="D385" t="s">
        <v>43</v>
      </c>
      <c r="E385" s="14" t="s">
        <v>519</v>
      </c>
      <c r="F385" t="s">
        <v>1422</v>
      </c>
      <c r="G385" s="8">
        <v>45396</v>
      </c>
      <c r="H385" s="8">
        <v>32116</v>
      </c>
      <c r="I385" s="8">
        <v>44315</v>
      </c>
      <c r="J385" s="9">
        <v>78031</v>
      </c>
      <c r="K385" s="8">
        <f>SUM(Table1[[#This Row],[Sales (Q1)]:[Sales (Q4)]])</f>
        <v>199858</v>
      </c>
      <c r="L385" s="2" t="str">
        <f>IF(Table1[[#This Row],[Employee Total Sales]]&gt;=200000,"High Performer",IF(Table1[[#This Row],[Employee Total Sales]]&gt;=180000,"Mid Performer","Low Performer"))</f>
        <v>Mid Performer</v>
      </c>
      <c r="M385" s="2" t="str">
        <f>IF(Table1[[#This Row],[Sales Performance]]="High Performer","Eligible for Promotion",IF(Table1[[#This Row],[Sales Performance]]="Low Performer","Review Cause Effect","Room For Growth"))</f>
        <v>Room For Growth</v>
      </c>
    </row>
    <row r="386" spans="1:13" x14ac:dyDescent="0.35">
      <c r="A386">
        <v>543</v>
      </c>
      <c r="B386" t="s">
        <v>877</v>
      </c>
      <c r="C386" t="s">
        <v>27</v>
      </c>
      <c r="D386" t="s">
        <v>12</v>
      </c>
      <c r="E386" s="14" t="s">
        <v>1423</v>
      </c>
      <c r="F386" t="s">
        <v>1424</v>
      </c>
      <c r="G386" s="8">
        <v>27270</v>
      </c>
      <c r="H386" s="8">
        <v>77010</v>
      </c>
      <c r="I386" s="8">
        <v>38176</v>
      </c>
      <c r="J386" s="9">
        <v>57296</v>
      </c>
      <c r="K386" s="8">
        <f>SUM(Table1[[#This Row],[Sales (Q1)]:[Sales (Q4)]])</f>
        <v>199752</v>
      </c>
      <c r="L386" s="2" t="str">
        <f>IF(Table1[[#This Row],[Employee Total Sales]]&gt;=200000,"High Performer",IF(Table1[[#This Row],[Employee Total Sales]]&gt;=180000,"Mid Performer","Low Performer"))</f>
        <v>Mid Performer</v>
      </c>
      <c r="M386" s="2" t="str">
        <f>IF(Table1[[#This Row],[Sales Performance]]="High Performer","Eligible for Promotion",IF(Table1[[#This Row],[Sales Performance]]="Low Performer","Review Cause Effect","Room For Growth"))</f>
        <v>Room For Growth</v>
      </c>
    </row>
    <row r="387" spans="1:13" x14ac:dyDescent="0.35">
      <c r="A387">
        <v>520</v>
      </c>
      <c r="B387" t="s">
        <v>726</v>
      </c>
      <c r="C387" t="s">
        <v>27</v>
      </c>
      <c r="D387" t="s">
        <v>28</v>
      </c>
      <c r="E387" s="14" t="s">
        <v>1425</v>
      </c>
      <c r="F387" t="s">
        <v>1012</v>
      </c>
      <c r="G387" s="8">
        <v>61282</v>
      </c>
      <c r="H387" s="8">
        <v>27737</v>
      </c>
      <c r="I387" s="8">
        <v>77073</v>
      </c>
      <c r="J387" s="9">
        <v>33460</v>
      </c>
      <c r="K387" s="8">
        <f>SUM(Table1[[#This Row],[Sales (Q1)]:[Sales (Q4)]])</f>
        <v>199552</v>
      </c>
      <c r="L387" s="2" t="str">
        <f>IF(Table1[[#This Row],[Employee Total Sales]]&gt;=200000,"High Performer",IF(Table1[[#This Row],[Employee Total Sales]]&gt;=180000,"Mid Performer","Low Performer"))</f>
        <v>Mid Performer</v>
      </c>
      <c r="M387" s="2" t="str">
        <f>IF(Table1[[#This Row],[Sales Performance]]="High Performer","Eligible for Promotion",IF(Table1[[#This Row],[Sales Performance]]="Low Performer","Review Cause Effect","Room For Growth"))</f>
        <v>Room For Growth</v>
      </c>
    </row>
    <row r="388" spans="1:13" x14ac:dyDescent="0.35">
      <c r="A388">
        <v>486</v>
      </c>
      <c r="B388" t="s">
        <v>422</v>
      </c>
      <c r="C388" t="s">
        <v>39</v>
      </c>
      <c r="D388" t="s">
        <v>20</v>
      </c>
      <c r="E388" s="14" t="s">
        <v>946</v>
      </c>
      <c r="F388" t="s">
        <v>947</v>
      </c>
      <c r="G388" s="8">
        <v>35753</v>
      </c>
      <c r="H388" s="8">
        <v>29861</v>
      </c>
      <c r="I388" s="8">
        <v>68918</v>
      </c>
      <c r="J388" s="9">
        <v>64912</v>
      </c>
      <c r="K388" s="8">
        <f>SUM(Table1[[#This Row],[Sales (Q1)]:[Sales (Q4)]])</f>
        <v>199444</v>
      </c>
      <c r="L388" s="2" t="str">
        <f>IF(Table1[[#This Row],[Employee Total Sales]]&gt;=200000,"High Performer",IF(Table1[[#This Row],[Employee Total Sales]]&gt;=180000,"Mid Performer","Low Performer"))</f>
        <v>Mid Performer</v>
      </c>
      <c r="M388" s="2" t="str">
        <f>IF(Table1[[#This Row],[Sales Performance]]="High Performer","Eligible for Promotion",IF(Table1[[#This Row],[Sales Performance]]="Low Performer","Review Cause Effect","Room For Growth"))</f>
        <v>Room For Growth</v>
      </c>
    </row>
    <row r="389" spans="1:13" x14ac:dyDescent="0.35">
      <c r="A389">
        <v>239</v>
      </c>
      <c r="B389" t="s">
        <v>196</v>
      </c>
      <c r="C389" t="s">
        <v>55</v>
      </c>
      <c r="D389" t="s">
        <v>43</v>
      </c>
      <c r="E389" s="14" t="s">
        <v>197</v>
      </c>
      <c r="F389" t="s">
        <v>1426</v>
      </c>
      <c r="G389" s="8">
        <v>41015</v>
      </c>
      <c r="H389" s="8">
        <v>59532</v>
      </c>
      <c r="I389" s="8">
        <v>65566</v>
      </c>
      <c r="J389" s="9">
        <v>33163</v>
      </c>
      <c r="K389" s="8">
        <f>SUM(Table1[[#This Row],[Sales (Q1)]:[Sales (Q4)]])</f>
        <v>199276</v>
      </c>
      <c r="L389" s="2" t="str">
        <f>IF(Table1[[#This Row],[Employee Total Sales]]&gt;=200000,"High Performer",IF(Table1[[#This Row],[Employee Total Sales]]&gt;=180000,"Mid Performer","Low Performer"))</f>
        <v>Mid Performer</v>
      </c>
      <c r="M389" s="2" t="str">
        <f>IF(Table1[[#This Row],[Sales Performance]]="High Performer","Eligible for Promotion",IF(Table1[[#This Row],[Sales Performance]]="Low Performer","Review Cause Effect","Room For Growth"))</f>
        <v>Room For Growth</v>
      </c>
    </row>
    <row r="390" spans="1:13" x14ac:dyDescent="0.35">
      <c r="A390">
        <v>577</v>
      </c>
      <c r="B390" t="s">
        <v>212</v>
      </c>
      <c r="C390" t="s">
        <v>111</v>
      </c>
      <c r="D390" t="s">
        <v>43</v>
      </c>
      <c r="E390" s="14" t="s">
        <v>1117</v>
      </c>
      <c r="F390" t="s">
        <v>1427</v>
      </c>
      <c r="G390" s="8">
        <v>78029</v>
      </c>
      <c r="H390" s="8">
        <v>34323</v>
      </c>
      <c r="I390" s="8">
        <v>46941</v>
      </c>
      <c r="J390" s="9">
        <v>39761</v>
      </c>
      <c r="K390" s="8">
        <f>SUM(Table1[[#This Row],[Sales (Q1)]:[Sales (Q4)]])</f>
        <v>199054</v>
      </c>
      <c r="L390" s="2" t="str">
        <f>IF(Table1[[#This Row],[Employee Total Sales]]&gt;=200000,"High Performer",IF(Table1[[#This Row],[Employee Total Sales]]&gt;=180000,"Mid Performer","Low Performer"))</f>
        <v>Mid Performer</v>
      </c>
      <c r="M390" s="2" t="str">
        <f>IF(Table1[[#This Row],[Sales Performance]]="High Performer","Eligible for Promotion",IF(Table1[[#This Row],[Sales Performance]]="Low Performer","Review Cause Effect","Room For Growth"))</f>
        <v>Room For Growth</v>
      </c>
    </row>
    <row r="391" spans="1:13" x14ac:dyDescent="0.35">
      <c r="A391">
        <v>569</v>
      </c>
      <c r="B391" t="s">
        <v>196</v>
      </c>
      <c r="C391" t="s">
        <v>111</v>
      </c>
      <c r="D391" t="s">
        <v>43</v>
      </c>
      <c r="E391" s="14" t="s">
        <v>1102</v>
      </c>
      <c r="F391" t="s">
        <v>1428</v>
      </c>
      <c r="G391" s="8">
        <v>50323</v>
      </c>
      <c r="H391" s="8">
        <v>57757</v>
      </c>
      <c r="I391" s="8">
        <v>22561</v>
      </c>
      <c r="J391" s="9">
        <v>68319</v>
      </c>
      <c r="K391" s="8">
        <f>SUM(Table1[[#This Row],[Sales (Q1)]:[Sales (Q4)]])</f>
        <v>198960</v>
      </c>
      <c r="L391" s="2" t="str">
        <f>IF(Table1[[#This Row],[Employee Total Sales]]&gt;=200000,"High Performer",IF(Table1[[#This Row],[Employee Total Sales]]&gt;=180000,"Mid Performer","Low Performer"))</f>
        <v>Mid Performer</v>
      </c>
      <c r="M391" s="2" t="str">
        <f>IF(Table1[[#This Row],[Sales Performance]]="High Performer","Eligible for Promotion",IF(Table1[[#This Row],[Sales Performance]]="Low Performer","Review Cause Effect","Room For Growth"))</f>
        <v>Room For Growth</v>
      </c>
    </row>
    <row r="392" spans="1:13" x14ac:dyDescent="0.35">
      <c r="A392">
        <v>403</v>
      </c>
      <c r="B392" t="s">
        <v>670</v>
      </c>
      <c r="C392" t="s">
        <v>11</v>
      </c>
      <c r="D392" t="s">
        <v>12</v>
      </c>
      <c r="E392" s="14" t="s">
        <v>772</v>
      </c>
      <c r="F392" t="s">
        <v>1429</v>
      </c>
      <c r="G392" s="8">
        <v>28817</v>
      </c>
      <c r="H392" s="8">
        <v>27996</v>
      </c>
      <c r="I392" s="8">
        <v>65522</v>
      </c>
      <c r="J392" s="9">
        <v>76322</v>
      </c>
      <c r="K392" s="8">
        <f>SUM(Table1[[#This Row],[Sales (Q1)]:[Sales (Q4)]])</f>
        <v>198657</v>
      </c>
      <c r="L392" s="2" t="str">
        <f>IF(Table1[[#This Row],[Employee Total Sales]]&gt;=200000,"High Performer",IF(Table1[[#This Row],[Employee Total Sales]]&gt;=180000,"Mid Performer","Low Performer"))</f>
        <v>Mid Performer</v>
      </c>
      <c r="M392" s="2" t="str">
        <f>IF(Table1[[#This Row],[Sales Performance]]="High Performer","Eligible for Promotion",IF(Table1[[#This Row],[Sales Performance]]="Low Performer","Review Cause Effect","Room For Growth"))</f>
        <v>Room For Growth</v>
      </c>
    </row>
    <row r="393" spans="1:13" x14ac:dyDescent="0.35">
      <c r="A393">
        <v>542</v>
      </c>
      <c r="B393" t="s">
        <v>212</v>
      </c>
      <c r="C393" t="s">
        <v>27</v>
      </c>
      <c r="D393" t="s">
        <v>20</v>
      </c>
      <c r="E393" s="14" t="s">
        <v>1731</v>
      </c>
      <c r="F393" t="s">
        <v>1054</v>
      </c>
      <c r="G393" s="8">
        <v>68702</v>
      </c>
      <c r="H393" s="8">
        <v>21296</v>
      </c>
      <c r="I393" s="8">
        <v>69703</v>
      </c>
      <c r="J393" s="9">
        <v>38424</v>
      </c>
      <c r="K393" s="8">
        <f>SUM(Table1[[#This Row],[Sales (Q1)]:[Sales (Q4)]])</f>
        <v>198125</v>
      </c>
      <c r="L393" s="2" t="str">
        <f>IF(Table1[[#This Row],[Employee Total Sales]]&gt;=200000,"High Performer",IF(Table1[[#This Row],[Employee Total Sales]]&gt;=180000,"Mid Performer","Low Performer"))</f>
        <v>Mid Performer</v>
      </c>
      <c r="M393" s="2" t="str">
        <f>IF(Table1[[#This Row],[Sales Performance]]="High Performer","Eligible for Promotion",IF(Table1[[#This Row],[Sales Performance]]="Low Performer","Review Cause Effect","Room For Growth"))</f>
        <v>Room For Growth</v>
      </c>
    </row>
    <row r="394" spans="1:13" x14ac:dyDescent="0.35">
      <c r="A394">
        <v>118</v>
      </c>
      <c r="B394" t="s">
        <v>69</v>
      </c>
      <c r="C394" t="s">
        <v>39</v>
      </c>
      <c r="D394" t="s">
        <v>12</v>
      </c>
      <c r="E394" s="14" t="s">
        <v>1702</v>
      </c>
      <c r="F394" t="s">
        <v>1430</v>
      </c>
      <c r="G394" s="8">
        <v>70536</v>
      </c>
      <c r="H394" s="8">
        <v>28573</v>
      </c>
      <c r="I394" s="8">
        <v>61753</v>
      </c>
      <c r="J394" s="9">
        <v>37167</v>
      </c>
      <c r="K394" s="8">
        <f>SUM(Table1[[#This Row],[Sales (Q1)]:[Sales (Q4)]])</f>
        <v>198029</v>
      </c>
      <c r="L394" s="2" t="str">
        <f>IF(Table1[[#This Row],[Employee Total Sales]]&gt;=200000,"High Performer",IF(Table1[[#This Row],[Employee Total Sales]]&gt;=180000,"Mid Performer","Low Performer"))</f>
        <v>Mid Performer</v>
      </c>
      <c r="M394" s="2" t="str">
        <f>IF(Table1[[#This Row],[Sales Performance]]="High Performer","Eligible for Promotion",IF(Table1[[#This Row],[Sales Performance]]="Low Performer","Review Cause Effect","Room For Growth"))</f>
        <v>Room For Growth</v>
      </c>
    </row>
    <row r="395" spans="1:13" x14ac:dyDescent="0.35">
      <c r="A395">
        <v>255</v>
      </c>
      <c r="B395" t="s">
        <v>436</v>
      </c>
      <c r="C395" t="s">
        <v>111</v>
      </c>
      <c r="D395" t="s">
        <v>28</v>
      </c>
      <c r="E395" s="14" t="s">
        <v>1431</v>
      </c>
      <c r="F395" t="s">
        <v>1432</v>
      </c>
      <c r="G395" s="8">
        <v>74057</v>
      </c>
      <c r="H395" s="8">
        <v>33883</v>
      </c>
      <c r="I395" s="8">
        <v>52421</v>
      </c>
      <c r="J395" s="9">
        <v>37598</v>
      </c>
      <c r="K395" s="8">
        <f>SUM(Table1[[#This Row],[Sales (Q1)]:[Sales (Q4)]])</f>
        <v>197959</v>
      </c>
      <c r="L395" s="2" t="str">
        <f>IF(Table1[[#This Row],[Employee Total Sales]]&gt;=200000,"High Performer",IF(Table1[[#This Row],[Employee Total Sales]]&gt;=180000,"Mid Performer","Low Performer"))</f>
        <v>Mid Performer</v>
      </c>
      <c r="M395" s="2" t="str">
        <f>IF(Table1[[#This Row],[Sales Performance]]="High Performer","Eligible for Promotion",IF(Table1[[#This Row],[Sales Performance]]="Low Performer","Review Cause Effect","Room For Growth"))</f>
        <v>Room For Growth</v>
      </c>
    </row>
    <row r="396" spans="1:13" x14ac:dyDescent="0.35">
      <c r="A396">
        <v>491</v>
      </c>
      <c r="B396" t="s">
        <v>495</v>
      </c>
      <c r="C396" t="s">
        <v>32</v>
      </c>
      <c r="D396" t="s">
        <v>12</v>
      </c>
      <c r="E396" s="14" t="s">
        <v>1433</v>
      </c>
      <c r="F396" t="s">
        <v>1434</v>
      </c>
      <c r="G396" s="8">
        <v>73829</v>
      </c>
      <c r="H396" s="8">
        <v>40196</v>
      </c>
      <c r="I396" s="8">
        <v>21381</v>
      </c>
      <c r="J396" s="9">
        <v>62296</v>
      </c>
      <c r="K396" s="8">
        <f>SUM(Table1[[#This Row],[Sales (Q1)]:[Sales (Q4)]])</f>
        <v>197702</v>
      </c>
      <c r="L396" s="2" t="str">
        <f>IF(Table1[[#This Row],[Employee Total Sales]]&gt;=200000,"High Performer",IF(Table1[[#This Row],[Employee Total Sales]]&gt;=180000,"Mid Performer","Low Performer"))</f>
        <v>Mid Performer</v>
      </c>
      <c r="M396" s="2" t="str">
        <f>IF(Table1[[#This Row],[Sales Performance]]="High Performer","Eligible for Promotion",IF(Table1[[#This Row],[Sales Performance]]="Low Performer","Review Cause Effect","Room For Growth"))</f>
        <v>Room For Growth</v>
      </c>
    </row>
    <row r="397" spans="1:13" x14ac:dyDescent="0.35">
      <c r="A397">
        <v>269</v>
      </c>
      <c r="B397" t="s">
        <v>473</v>
      </c>
      <c r="C397" t="s">
        <v>111</v>
      </c>
      <c r="D397" t="s">
        <v>20</v>
      </c>
      <c r="E397" s="14" t="s">
        <v>474</v>
      </c>
      <c r="F397" t="s">
        <v>1435</v>
      </c>
      <c r="G397" s="8">
        <v>20095</v>
      </c>
      <c r="H397" s="8">
        <v>69737</v>
      </c>
      <c r="I397" s="8">
        <v>63077</v>
      </c>
      <c r="J397" s="9">
        <v>44659</v>
      </c>
      <c r="K397" s="8">
        <f>SUM(Table1[[#This Row],[Sales (Q1)]:[Sales (Q4)]])</f>
        <v>197568</v>
      </c>
      <c r="L397" s="2" t="str">
        <f>IF(Table1[[#This Row],[Employee Total Sales]]&gt;=200000,"High Performer",IF(Table1[[#This Row],[Employee Total Sales]]&gt;=180000,"Mid Performer","Low Performer"))</f>
        <v>Mid Performer</v>
      </c>
      <c r="M397" s="2" t="str">
        <f>IF(Table1[[#This Row],[Sales Performance]]="High Performer","Eligible for Promotion",IF(Table1[[#This Row],[Sales Performance]]="Low Performer","Review Cause Effect","Room For Growth"))</f>
        <v>Room For Growth</v>
      </c>
    </row>
    <row r="398" spans="1:13" x14ac:dyDescent="0.35">
      <c r="A398">
        <v>589</v>
      </c>
      <c r="B398" t="s">
        <v>291</v>
      </c>
      <c r="C398" t="s">
        <v>11</v>
      </c>
      <c r="D398" t="s">
        <v>12</v>
      </c>
      <c r="E398" s="14" t="s">
        <v>1436</v>
      </c>
      <c r="F398" t="s">
        <v>1437</v>
      </c>
      <c r="G398" s="8">
        <v>57164</v>
      </c>
      <c r="H398" s="8">
        <v>73370</v>
      </c>
      <c r="I398" s="8">
        <v>33931</v>
      </c>
      <c r="J398" s="9">
        <v>32165</v>
      </c>
      <c r="K398" s="8">
        <f>SUM(Table1[[#This Row],[Sales (Q1)]:[Sales (Q4)]])</f>
        <v>196630</v>
      </c>
      <c r="L398" s="2" t="str">
        <f>IF(Table1[[#This Row],[Employee Total Sales]]&gt;=200000,"High Performer",IF(Table1[[#This Row],[Employee Total Sales]]&gt;=180000,"Mid Performer","Low Performer"))</f>
        <v>Mid Performer</v>
      </c>
      <c r="M398" s="2" t="str">
        <f>IF(Table1[[#This Row],[Sales Performance]]="High Performer","Eligible for Promotion",IF(Table1[[#This Row],[Sales Performance]]="Low Performer","Review Cause Effect","Room For Growth"))</f>
        <v>Room For Growth</v>
      </c>
    </row>
    <row r="399" spans="1:13" x14ac:dyDescent="0.35">
      <c r="A399">
        <v>408</v>
      </c>
      <c r="B399" t="s">
        <v>389</v>
      </c>
      <c r="C399" t="s">
        <v>39</v>
      </c>
      <c r="D399" t="s">
        <v>12</v>
      </c>
      <c r="E399" s="14" t="s">
        <v>781</v>
      </c>
      <c r="F399" t="s">
        <v>1438</v>
      </c>
      <c r="G399" s="8">
        <v>59694</v>
      </c>
      <c r="H399" s="8">
        <v>45530</v>
      </c>
      <c r="I399" s="8">
        <v>32280</v>
      </c>
      <c r="J399" s="9">
        <v>59006</v>
      </c>
      <c r="K399" s="8">
        <f>SUM(Table1[[#This Row],[Sales (Q1)]:[Sales (Q4)]])</f>
        <v>196510</v>
      </c>
      <c r="L399" s="2" t="str">
        <f>IF(Table1[[#This Row],[Employee Total Sales]]&gt;=200000,"High Performer",IF(Table1[[#This Row],[Employee Total Sales]]&gt;=180000,"Mid Performer","Low Performer"))</f>
        <v>Mid Performer</v>
      </c>
      <c r="M399" s="2" t="str">
        <f>IF(Table1[[#This Row],[Sales Performance]]="High Performer","Eligible for Promotion",IF(Table1[[#This Row],[Sales Performance]]="Low Performer","Review Cause Effect","Room For Growth"))</f>
        <v>Room For Growth</v>
      </c>
    </row>
    <row r="400" spans="1:13" x14ac:dyDescent="0.35">
      <c r="A400">
        <v>455</v>
      </c>
      <c r="B400" t="s">
        <v>137</v>
      </c>
      <c r="C400" t="s">
        <v>39</v>
      </c>
      <c r="D400" t="s">
        <v>12</v>
      </c>
      <c r="E400" s="14" t="s">
        <v>280</v>
      </c>
      <c r="F400" t="s">
        <v>1439</v>
      </c>
      <c r="G400" s="8">
        <v>47298</v>
      </c>
      <c r="H400" s="8">
        <v>64721</v>
      </c>
      <c r="I400" s="8">
        <v>55483</v>
      </c>
      <c r="J400" s="9">
        <v>28652</v>
      </c>
      <c r="K400" s="8">
        <f>SUM(Table1[[#This Row],[Sales (Q1)]:[Sales (Q4)]])</f>
        <v>196154</v>
      </c>
      <c r="L400" s="2" t="str">
        <f>IF(Table1[[#This Row],[Employee Total Sales]]&gt;=200000,"High Performer",IF(Table1[[#This Row],[Employee Total Sales]]&gt;=180000,"Mid Performer","Low Performer"))</f>
        <v>Mid Performer</v>
      </c>
      <c r="M400" s="2" t="str">
        <f>IF(Table1[[#This Row],[Sales Performance]]="High Performer","Eligible for Promotion",IF(Table1[[#This Row],[Sales Performance]]="Low Performer","Review Cause Effect","Room For Growth"))</f>
        <v>Room For Growth</v>
      </c>
    </row>
    <row r="401" spans="1:13" x14ac:dyDescent="0.35">
      <c r="A401">
        <v>504</v>
      </c>
      <c r="B401" t="s">
        <v>665</v>
      </c>
      <c r="C401" t="s">
        <v>32</v>
      </c>
      <c r="D401" t="s">
        <v>28</v>
      </c>
      <c r="E401" s="14" t="s">
        <v>666</v>
      </c>
      <c r="F401" t="s">
        <v>1440</v>
      </c>
      <c r="G401" s="8">
        <v>38630</v>
      </c>
      <c r="H401" s="8">
        <v>64650</v>
      </c>
      <c r="I401" s="8">
        <v>64606</v>
      </c>
      <c r="J401" s="9">
        <v>27994</v>
      </c>
      <c r="K401" s="8">
        <f>SUM(Table1[[#This Row],[Sales (Q1)]:[Sales (Q4)]])</f>
        <v>195880</v>
      </c>
      <c r="L401" s="2" t="str">
        <f>IF(Table1[[#This Row],[Employee Total Sales]]&gt;=200000,"High Performer",IF(Table1[[#This Row],[Employee Total Sales]]&gt;=180000,"Mid Performer","Low Performer"))</f>
        <v>Mid Performer</v>
      </c>
      <c r="M401" s="2" t="str">
        <f>IF(Table1[[#This Row],[Sales Performance]]="High Performer","Eligible for Promotion",IF(Table1[[#This Row],[Sales Performance]]="Low Performer","Review Cause Effect","Room For Growth"))</f>
        <v>Room For Growth</v>
      </c>
    </row>
    <row r="402" spans="1:13" x14ac:dyDescent="0.35">
      <c r="A402">
        <v>108</v>
      </c>
      <c r="B402" t="s">
        <v>38</v>
      </c>
      <c r="C402" t="s">
        <v>39</v>
      </c>
      <c r="D402" t="s">
        <v>12</v>
      </c>
      <c r="E402" s="14" t="s">
        <v>40</v>
      </c>
      <c r="F402" t="s">
        <v>1441</v>
      </c>
      <c r="G402" s="8">
        <v>35785</v>
      </c>
      <c r="H402" s="8">
        <v>77541</v>
      </c>
      <c r="I402" s="8">
        <v>57182</v>
      </c>
      <c r="J402" s="9">
        <v>25161</v>
      </c>
      <c r="K402" s="8">
        <f>SUM(Table1[[#This Row],[Sales (Q1)]:[Sales (Q4)]])</f>
        <v>195669</v>
      </c>
      <c r="L402" s="2" t="str">
        <f>IF(Table1[[#This Row],[Employee Total Sales]]&gt;=200000,"High Performer",IF(Table1[[#This Row],[Employee Total Sales]]&gt;=180000,"Mid Performer","Low Performer"))</f>
        <v>Mid Performer</v>
      </c>
      <c r="M402" s="2" t="str">
        <f>IF(Table1[[#This Row],[Sales Performance]]="High Performer","Eligible for Promotion",IF(Table1[[#This Row],[Sales Performance]]="Low Performer","Review Cause Effect","Room For Growth"))</f>
        <v>Room For Growth</v>
      </c>
    </row>
    <row r="403" spans="1:13" x14ac:dyDescent="0.35">
      <c r="A403">
        <v>477</v>
      </c>
      <c r="B403" t="s">
        <v>193</v>
      </c>
      <c r="C403" t="s">
        <v>111</v>
      </c>
      <c r="D403" t="s">
        <v>20</v>
      </c>
      <c r="E403" s="14" t="s">
        <v>1191</v>
      </c>
      <c r="F403" t="s">
        <v>1442</v>
      </c>
      <c r="G403" s="8">
        <v>59622</v>
      </c>
      <c r="H403" s="8">
        <v>64512</v>
      </c>
      <c r="I403" s="8">
        <v>41427</v>
      </c>
      <c r="J403" s="9">
        <v>30009</v>
      </c>
      <c r="K403" s="8">
        <f>SUM(Table1[[#This Row],[Sales (Q1)]:[Sales (Q4)]])</f>
        <v>195570</v>
      </c>
      <c r="L403" s="2" t="str">
        <f>IF(Table1[[#This Row],[Employee Total Sales]]&gt;=200000,"High Performer",IF(Table1[[#This Row],[Employee Total Sales]]&gt;=180000,"Mid Performer","Low Performer"))</f>
        <v>Mid Performer</v>
      </c>
      <c r="M403" s="2" t="str">
        <f>IF(Table1[[#This Row],[Sales Performance]]="High Performer","Eligible for Promotion",IF(Table1[[#This Row],[Sales Performance]]="Low Performer","Review Cause Effect","Room For Growth"))</f>
        <v>Room For Growth</v>
      </c>
    </row>
    <row r="404" spans="1:13" x14ac:dyDescent="0.35">
      <c r="A404">
        <v>352</v>
      </c>
      <c r="B404" t="s">
        <v>89</v>
      </c>
      <c r="C404" t="s">
        <v>11</v>
      </c>
      <c r="D404" t="s">
        <v>20</v>
      </c>
      <c r="E404" s="14" t="s">
        <v>1738</v>
      </c>
      <c r="F404" t="s">
        <v>1443</v>
      </c>
      <c r="G404" s="8">
        <v>53849</v>
      </c>
      <c r="H404" s="8">
        <v>55104</v>
      </c>
      <c r="I404" s="8">
        <v>20637</v>
      </c>
      <c r="J404" s="9">
        <v>65928</v>
      </c>
      <c r="K404" s="8">
        <f>SUM(Table1[[#This Row],[Sales (Q1)]:[Sales (Q4)]])</f>
        <v>195518</v>
      </c>
      <c r="L404" s="2" t="str">
        <f>IF(Table1[[#This Row],[Employee Total Sales]]&gt;=200000,"High Performer",IF(Table1[[#This Row],[Employee Total Sales]]&gt;=180000,"Mid Performer","Low Performer"))</f>
        <v>Mid Performer</v>
      </c>
      <c r="M404" s="2" t="str">
        <f>IF(Table1[[#This Row],[Sales Performance]]="High Performer","Eligible for Promotion",IF(Table1[[#This Row],[Sales Performance]]="Low Performer","Review Cause Effect","Room For Growth"))</f>
        <v>Room For Growth</v>
      </c>
    </row>
    <row r="405" spans="1:13" x14ac:dyDescent="0.35">
      <c r="A405">
        <v>381</v>
      </c>
      <c r="B405" t="s">
        <v>726</v>
      </c>
      <c r="C405" t="s">
        <v>55</v>
      </c>
      <c r="D405" t="s">
        <v>28</v>
      </c>
      <c r="E405" s="14" t="s">
        <v>1425</v>
      </c>
      <c r="F405" t="s">
        <v>1444</v>
      </c>
      <c r="G405" s="8">
        <v>57387</v>
      </c>
      <c r="H405" s="8">
        <v>46201</v>
      </c>
      <c r="I405" s="8">
        <v>57294</v>
      </c>
      <c r="J405" s="9">
        <v>34249</v>
      </c>
      <c r="K405" s="8">
        <f>SUM(Table1[[#This Row],[Sales (Q1)]:[Sales (Q4)]])</f>
        <v>195131</v>
      </c>
      <c r="L405" s="2" t="str">
        <f>IF(Table1[[#This Row],[Employee Total Sales]]&gt;=200000,"High Performer",IF(Table1[[#This Row],[Employee Total Sales]]&gt;=180000,"Mid Performer","Low Performer"))</f>
        <v>Mid Performer</v>
      </c>
      <c r="M405" s="2" t="str">
        <f>IF(Table1[[#This Row],[Sales Performance]]="High Performer","Eligible for Promotion",IF(Table1[[#This Row],[Sales Performance]]="Low Performer","Review Cause Effect","Room For Growth"))</f>
        <v>Room For Growth</v>
      </c>
    </row>
    <row r="406" spans="1:13" x14ac:dyDescent="0.35">
      <c r="A406">
        <v>104</v>
      </c>
      <c r="B406" t="s">
        <v>23</v>
      </c>
      <c r="C406" t="s">
        <v>16</v>
      </c>
      <c r="D406" t="s">
        <v>12</v>
      </c>
      <c r="E406" s="14" t="s">
        <v>863</v>
      </c>
      <c r="F406" t="s">
        <v>25</v>
      </c>
      <c r="G406" s="8">
        <v>50294</v>
      </c>
      <c r="H406" s="8">
        <v>44867</v>
      </c>
      <c r="I406" s="8">
        <v>37691</v>
      </c>
      <c r="J406" s="9">
        <v>61943</v>
      </c>
      <c r="K406" s="8">
        <f>SUM(Table1[[#This Row],[Sales (Q1)]:[Sales (Q4)]])</f>
        <v>194795</v>
      </c>
      <c r="L406" s="2" t="str">
        <f>IF(Table1[[#This Row],[Employee Total Sales]]&gt;=200000,"High Performer",IF(Table1[[#This Row],[Employee Total Sales]]&gt;=180000,"Mid Performer","Low Performer"))</f>
        <v>Mid Performer</v>
      </c>
      <c r="M406" s="2" t="str">
        <f>IF(Table1[[#This Row],[Sales Performance]]="High Performer","Eligible for Promotion",IF(Table1[[#This Row],[Sales Performance]]="Low Performer","Review Cause Effect","Room For Growth"))</f>
        <v>Room For Growth</v>
      </c>
    </row>
    <row r="407" spans="1:13" x14ac:dyDescent="0.35">
      <c r="A407">
        <v>136</v>
      </c>
      <c r="B407" t="s">
        <v>123</v>
      </c>
      <c r="C407" t="s">
        <v>27</v>
      </c>
      <c r="D407" t="s">
        <v>28</v>
      </c>
      <c r="E407" s="14" t="s">
        <v>124</v>
      </c>
      <c r="F407" t="s">
        <v>125</v>
      </c>
      <c r="G407" s="8">
        <v>43253</v>
      </c>
      <c r="H407" s="8">
        <v>72286</v>
      </c>
      <c r="I407" s="8">
        <v>36931</v>
      </c>
      <c r="J407" s="9">
        <v>42304</v>
      </c>
      <c r="K407" s="8">
        <f>SUM(Table1[[#This Row],[Sales (Q1)]:[Sales (Q4)]])</f>
        <v>194774</v>
      </c>
      <c r="L407" s="2" t="str">
        <f>IF(Table1[[#This Row],[Employee Total Sales]]&gt;=200000,"High Performer",IF(Table1[[#This Row],[Employee Total Sales]]&gt;=180000,"Mid Performer","Low Performer"))</f>
        <v>Mid Performer</v>
      </c>
      <c r="M407" s="2" t="str">
        <f>IF(Table1[[#This Row],[Sales Performance]]="High Performer","Eligible for Promotion",IF(Table1[[#This Row],[Sales Performance]]="Low Performer","Review Cause Effect","Room For Growth"))</f>
        <v>Room For Growth</v>
      </c>
    </row>
    <row r="408" spans="1:13" x14ac:dyDescent="0.35">
      <c r="A408">
        <v>452</v>
      </c>
      <c r="B408" t="s">
        <v>877</v>
      </c>
      <c r="C408" t="s">
        <v>32</v>
      </c>
      <c r="D408" t="s">
        <v>12</v>
      </c>
      <c r="E408" s="14" t="s">
        <v>1423</v>
      </c>
      <c r="F408" t="s">
        <v>1445</v>
      </c>
      <c r="G408" s="8">
        <v>44014</v>
      </c>
      <c r="H408" s="8">
        <v>31486</v>
      </c>
      <c r="I408" s="8">
        <v>62478</v>
      </c>
      <c r="J408" s="9">
        <v>56620</v>
      </c>
      <c r="K408" s="8">
        <f>SUM(Table1[[#This Row],[Sales (Q1)]:[Sales (Q4)]])</f>
        <v>194598</v>
      </c>
      <c r="L408" s="2" t="str">
        <f>IF(Table1[[#This Row],[Employee Total Sales]]&gt;=200000,"High Performer",IF(Table1[[#This Row],[Employee Total Sales]]&gt;=180000,"Mid Performer","Low Performer"))</f>
        <v>Mid Performer</v>
      </c>
      <c r="M408" s="2" t="str">
        <f>IF(Table1[[#This Row],[Sales Performance]]="High Performer","Eligible for Promotion",IF(Table1[[#This Row],[Sales Performance]]="Low Performer","Review Cause Effect","Room For Growth"))</f>
        <v>Room For Growth</v>
      </c>
    </row>
    <row r="409" spans="1:13" x14ac:dyDescent="0.35">
      <c r="A409">
        <v>347</v>
      </c>
      <c r="B409" t="s">
        <v>652</v>
      </c>
      <c r="C409" t="s">
        <v>111</v>
      </c>
      <c r="D409" t="s">
        <v>20</v>
      </c>
      <c r="E409" s="14" t="s">
        <v>653</v>
      </c>
      <c r="F409" t="s">
        <v>1446</v>
      </c>
      <c r="G409" s="8">
        <v>71321</v>
      </c>
      <c r="H409" s="8">
        <v>65830</v>
      </c>
      <c r="I409" s="8">
        <v>30603</v>
      </c>
      <c r="J409" s="9">
        <v>26571</v>
      </c>
      <c r="K409" s="8">
        <f>SUM(Table1[[#This Row],[Sales (Q1)]:[Sales (Q4)]])</f>
        <v>194325</v>
      </c>
      <c r="L409" s="2" t="str">
        <f>IF(Table1[[#This Row],[Employee Total Sales]]&gt;=200000,"High Performer",IF(Table1[[#This Row],[Employee Total Sales]]&gt;=180000,"Mid Performer","Low Performer"))</f>
        <v>Mid Performer</v>
      </c>
      <c r="M409" s="2" t="str">
        <f>IF(Table1[[#This Row],[Sales Performance]]="High Performer","Eligible for Promotion",IF(Table1[[#This Row],[Sales Performance]]="Low Performer","Review Cause Effect","Room For Growth"))</f>
        <v>Room For Growth</v>
      </c>
    </row>
    <row r="410" spans="1:13" x14ac:dyDescent="0.35">
      <c r="A410">
        <v>354</v>
      </c>
      <c r="B410" t="s">
        <v>665</v>
      </c>
      <c r="C410" t="s">
        <v>39</v>
      </c>
      <c r="D410" t="s">
        <v>43</v>
      </c>
      <c r="E410" s="14" t="s">
        <v>666</v>
      </c>
      <c r="F410" t="s">
        <v>1447</v>
      </c>
      <c r="G410" s="8">
        <v>22769</v>
      </c>
      <c r="H410" s="8">
        <v>75575</v>
      </c>
      <c r="I410" s="8">
        <v>51607</v>
      </c>
      <c r="J410" s="9">
        <v>44326</v>
      </c>
      <c r="K410" s="8">
        <f>SUM(Table1[[#This Row],[Sales (Q1)]:[Sales (Q4)]])</f>
        <v>194277</v>
      </c>
      <c r="L410" s="2" t="str">
        <f>IF(Table1[[#This Row],[Employee Total Sales]]&gt;=200000,"High Performer",IF(Table1[[#This Row],[Employee Total Sales]]&gt;=180000,"Mid Performer","Low Performer"))</f>
        <v>Mid Performer</v>
      </c>
      <c r="M410" s="2" t="str">
        <f>IF(Table1[[#This Row],[Sales Performance]]="High Performer","Eligible for Promotion",IF(Table1[[#This Row],[Sales Performance]]="Low Performer","Review Cause Effect","Room For Growth"))</f>
        <v>Room For Growth</v>
      </c>
    </row>
    <row r="411" spans="1:13" x14ac:dyDescent="0.35">
      <c r="A411">
        <v>537</v>
      </c>
      <c r="B411" t="s">
        <v>330</v>
      </c>
      <c r="C411" t="s">
        <v>111</v>
      </c>
      <c r="D411" t="s">
        <v>20</v>
      </c>
      <c r="E411" s="14" t="s">
        <v>331</v>
      </c>
      <c r="F411" t="s">
        <v>1448</v>
      </c>
      <c r="G411" s="8">
        <v>40862</v>
      </c>
      <c r="H411" s="8">
        <v>50462</v>
      </c>
      <c r="I411" s="8">
        <v>56249</v>
      </c>
      <c r="J411" s="9">
        <v>46678</v>
      </c>
      <c r="K411" s="8">
        <f>SUM(Table1[[#This Row],[Sales (Q1)]:[Sales (Q4)]])</f>
        <v>194251</v>
      </c>
      <c r="L411" s="2" t="str">
        <f>IF(Table1[[#This Row],[Employee Total Sales]]&gt;=200000,"High Performer",IF(Table1[[#This Row],[Employee Total Sales]]&gt;=180000,"Mid Performer","Low Performer"))</f>
        <v>Mid Performer</v>
      </c>
      <c r="M411" s="2" t="str">
        <f>IF(Table1[[#This Row],[Sales Performance]]="High Performer","Eligible for Promotion",IF(Table1[[#This Row],[Sales Performance]]="Low Performer","Review Cause Effect","Room For Growth"))</f>
        <v>Room For Growth</v>
      </c>
    </row>
    <row r="412" spans="1:13" x14ac:dyDescent="0.35">
      <c r="A412">
        <v>591</v>
      </c>
      <c r="B412" t="s">
        <v>1143</v>
      </c>
      <c r="C412" t="s">
        <v>16</v>
      </c>
      <c r="D412" t="s">
        <v>28</v>
      </c>
      <c r="E412" s="14" t="s">
        <v>1144</v>
      </c>
      <c r="F412" t="s">
        <v>1449</v>
      </c>
      <c r="G412" s="8">
        <v>59608</v>
      </c>
      <c r="H412" s="8">
        <v>48144</v>
      </c>
      <c r="I412" s="8">
        <v>42056</v>
      </c>
      <c r="J412" s="9">
        <v>44299</v>
      </c>
      <c r="K412" s="8">
        <f>SUM(Table1[[#This Row],[Sales (Q1)]:[Sales (Q4)]])</f>
        <v>194107</v>
      </c>
      <c r="L412" s="2" t="str">
        <f>IF(Table1[[#This Row],[Employee Total Sales]]&gt;=200000,"High Performer",IF(Table1[[#This Row],[Employee Total Sales]]&gt;=180000,"Mid Performer","Low Performer"))</f>
        <v>Mid Performer</v>
      </c>
      <c r="M412" s="2" t="str">
        <f>IF(Table1[[#This Row],[Sales Performance]]="High Performer","Eligible for Promotion",IF(Table1[[#This Row],[Sales Performance]]="Low Performer","Review Cause Effect","Room For Growth"))</f>
        <v>Room For Growth</v>
      </c>
    </row>
    <row r="413" spans="1:13" x14ac:dyDescent="0.35">
      <c r="A413">
        <v>410</v>
      </c>
      <c r="B413" t="s">
        <v>404</v>
      </c>
      <c r="C413" t="s">
        <v>32</v>
      </c>
      <c r="D413" t="s">
        <v>28</v>
      </c>
      <c r="E413" s="14" t="s">
        <v>1450</v>
      </c>
      <c r="F413" t="s">
        <v>1451</v>
      </c>
      <c r="G413" s="8">
        <v>64349</v>
      </c>
      <c r="H413" s="8">
        <v>28697</v>
      </c>
      <c r="I413" s="8">
        <v>33447</v>
      </c>
      <c r="J413" s="9">
        <v>67485</v>
      </c>
      <c r="K413" s="8">
        <f>SUM(Table1[[#This Row],[Sales (Q1)]:[Sales (Q4)]])</f>
        <v>193978</v>
      </c>
      <c r="L413" s="2" t="str">
        <f>IF(Table1[[#This Row],[Employee Total Sales]]&gt;=200000,"High Performer",IF(Table1[[#This Row],[Employee Total Sales]]&gt;=180000,"Mid Performer","Low Performer"))</f>
        <v>Mid Performer</v>
      </c>
      <c r="M413" s="2" t="str">
        <f>IF(Table1[[#This Row],[Sales Performance]]="High Performer","Eligible for Promotion",IF(Table1[[#This Row],[Sales Performance]]="Low Performer","Review Cause Effect","Room For Growth"))</f>
        <v>Room For Growth</v>
      </c>
    </row>
    <row r="414" spans="1:13" x14ac:dyDescent="0.35">
      <c r="A414">
        <v>345</v>
      </c>
      <c r="B414" t="s">
        <v>95</v>
      </c>
      <c r="C414" t="s">
        <v>39</v>
      </c>
      <c r="D414" t="s">
        <v>12</v>
      </c>
      <c r="E414" s="14" t="s">
        <v>1291</v>
      </c>
      <c r="F414" t="s">
        <v>1452</v>
      </c>
      <c r="G414" s="8">
        <v>57878</v>
      </c>
      <c r="H414" s="8">
        <v>54245</v>
      </c>
      <c r="I414" s="8">
        <v>27722</v>
      </c>
      <c r="J414" s="9">
        <v>54063</v>
      </c>
      <c r="K414" s="8">
        <f>SUM(Table1[[#This Row],[Sales (Q1)]:[Sales (Q4)]])</f>
        <v>193908</v>
      </c>
      <c r="L414" s="2" t="str">
        <f>IF(Table1[[#This Row],[Employee Total Sales]]&gt;=200000,"High Performer",IF(Table1[[#This Row],[Employee Total Sales]]&gt;=180000,"Mid Performer","Low Performer"))</f>
        <v>Mid Performer</v>
      </c>
      <c r="M414" s="2" t="str">
        <f>IF(Table1[[#This Row],[Sales Performance]]="High Performer","Eligible for Promotion",IF(Table1[[#This Row],[Sales Performance]]="Low Performer","Review Cause Effect","Room For Growth"))</f>
        <v>Room For Growth</v>
      </c>
    </row>
    <row r="415" spans="1:13" x14ac:dyDescent="0.35">
      <c r="A415">
        <v>308</v>
      </c>
      <c r="B415" t="s">
        <v>562</v>
      </c>
      <c r="C415" t="s">
        <v>11</v>
      </c>
      <c r="D415" t="s">
        <v>43</v>
      </c>
      <c r="E415" s="14" t="s">
        <v>563</v>
      </c>
      <c r="F415" t="s">
        <v>1453</v>
      </c>
      <c r="G415" s="8">
        <v>67105</v>
      </c>
      <c r="H415" s="8">
        <v>60481</v>
      </c>
      <c r="I415" s="8">
        <v>27715</v>
      </c>
      <c r="J415" s="9">
        <v>38527</v>
      </c>
      <c r="K415" s="8">
        <f>SUM(Table1[[#This Row],[Sales (Q1)]:[Sales (Q4)]])</f>
        <v>193828</v>
      </c>
      <c r="L415" s="2" t="str">
        <f>IF(Table1[[#This Row],[Employee Total Sales]]&gt;=200000,"High Performer",IF(Table1[[#This Row],[Employee Total Sales]]&gt;=180000,"Mid Performer","Low Performer"))</f>
        <v>Mid Performer</v>
      </c>
      <c r="M415" s="2" t="str">
        <f>IF(Table1[[#This Row],[Sales Performance]]="High Performer","Eligible for Promotion",IF(Table1[[#This Row],[Sales Performance]]="Low Performer","Review Cause Effect","Room For Growth"))</f>
        <v>Room For Growth</v>
      </c>
    </row>
    <row r="416" spans="1:13" x14ac:dyDescent="0.35">
      <c r="A416">
        <v>561</v>
      </c>
      <c r="B416" t="s">
        <v>533</v>
      </c>
      <c r="C416" t="s">
        <v>16</v>
      </c>
      <c r="D416" t="s">
        <v>28</v>
      </c>
      <c r="E416" s="14" t="s">
        <v>1089</v>
      </c>
      <c r="F416" t="s">
        <v>1454</v>
      </c>
      <c r="G416" s="8">
        <v>54925</v>
      </c>
      <c r="H416" s="8">
        <v>56449</v>
      </c>
      <c r="I416" s="8">
        <v>57771</v>
      </c>
      <c r="J416" s="9">
        <v>24675</v>
      </c>
      <c r="K416" s="8">
        <f>SUM(Table1[[#This Row],[Sales (Q1)]:[Sales (Q4)]])</f>
        <v>193820</v>
      </c>
      <c r="L416" s="2" t="str">
        <f>IF(Table1[[#This Row],[Employee Total Sales]]&gt;=200000,"High Performer",IF(Table1[[#This Row],[Employee Total Sales]]&gt;=180000,"Mid Performer","Low Performer"))</f>
        <v>Mid Performer</v>
      </c>
      <c r="M416" s="2" t="str">
        <f>IF(Table1[[#This Row],[Sales Performance]]="High Performer","Eligible for Promotion",IF(Table1[[#This Row],[Sales Performance]]="Low Performer","Review Cause Effect","Room For Growth"))</f>
        <v>Room For Growth</v>
      </c>
    </row>
    <row r="417" spans="1:13" x14ac:dyDescent="0.35">
      <c r="A417">
        <v>126</v>
      </c>
      <c r="B417" t="s">
        <v>92</v>
      </c>
      <c r="C417" t="s">
        <v>39</v>
      </c>
      <c r="D417" t="s">
        <v>28</v>
      </c>
      <c r="E417" s="14" t="s">
        <v>93</v>
      </c>
      <c r="F417" t="s">
        <v>1455</v>
      </c>
      <c r="G417" s="8">
        <v>35989</v>
      </c>
      <c r="H417" s="8">
        <v>29671</v>
      </c>
      <c r="I417" s="8">
        <v>62995</v>
      </c>
      <c r="J417" s="9">
        <v>65064</v>
      </c>
      <c r="K417" s="8">
        <f>SUM(Table1[[#This Row],[Sales (Q1)]:[Sales (Q4)]])</f>
        <v>193719</v>
      </c>
      <c r="L417" s="2" t="str">
        <f>IF(Table1[[#This Row],[Employee Total Sales]]&gt;=200000,"High Performer",IF(Table1[[#This Row],[Employee Total Sales]]&gt;=180000,"Mid Performer","Low Performer"))</f>
        <v>Mid Performer</v>
      </c>
      <c r="M417" s="2" t="str">
        <f>IF(Table1[[#This Row],[Sales Performance]]="High Performer","Eligible for Promotion",IF(Table1[[#This Row],[Sales Performance]]="Low Performer","Review Cause Effect","Room For Growth"))</f>
        <v>Room For Growth</v>
      </c>
    </row>
    <row r="418" spans="1:13" x14ac:dyDescent="0.35">
      <c r="A418">
        <v>332</v>
      </c>
      <c r="B418" t="s">
        <v>617</v>
      </c>
      <c r="C418" t="s">
        <v>39</v>
      </c>
      <c r="D418" t="s">
        <v>20</v>
      </c>
      <c r="E418" s="14" t="s">
        <v>1456</v>
      </c>
      <c r="F418" t="s">
        <v>1457</v>
      </c>
      <c r="G418" s="8">
        <v>50229</v>
      </c>
      <c r="H418" s="8">
        <v>62249</v>
      </c>
      <c r="I418" s="8">
        <v>56022</v>
      </c>
      <c r="J418" s="9">
        <v>24793</v>
      </c>
      <c r="K418" s="8">
        <f>SUM(Table1[[#This Row],[Sales (Q1)]:[Sales (Q4)]])</f>
        <v>193293</v>
      </c>
      <c r="L418" s="2" t="str">
        <f>IF(Table1[[#This Row],[Employee Total Sales]]&gt;=200000,"High Performer",IF(Table1[[#This Row],[Employee Total Sales]]&gt;=180000,"Mid Performer","Low Performer"))</f>
        <v>Mid Performer</v>
      </c>
      <c r="M418" s="2" t="str">
        <f>IF(Table1[[#This Row],[Sales Performance]]="High Performer","Eligible for Promotion",IF(Table1[[#This Row],[Sales Performance]]="Low Performer","Review Cause Effect","Room For Growth"))</f>
        <v>Room For Growth</v>
      </c>
    </row>
    <row r="419" spans="1:13" x14ac:dyDescent="0.35">
      <c r="A419">
        <v>593</v>
      </c>
      <c r="B419" t="s">
        <v>507</v>
      </c>
      <c r="C419" t="s">
        <v>16</v>
      </c>
      <c r="D419" t="s">
        <v>20</v>
      </c>
      <c r="E419" s="14" t="s">
        <v>1739</v>
      </c>
      <c r="F419" t="s">
        <v>1458</v>
      </c>
      <c r="G419" s="8">
        <v>35306</v>
      </c>
      <c r="H419" s="8">
        <v>59764</v>
      </c>
      <c r="I419" s="8">
        <v>51754</v>
      </c>
      <c r="J419" s="9">
        <v>46225</v>
      </c>
      <c r="K419" s="8">
        <f>SUM(Table1[[#This Row],[Sales (Q1)]:[Sales (Q4)]])</f>
        <v>193049</v>
      </c>
      <c r="L419" s="2" t="str">
        <f>IF(Table1[[#This Row],[Employee Total Sales]]&gt;=200000,"High Performer",IF(Table1[[#This Row],[Employee Total Sales]]&gt;=180000,"Mid Performer","Low Performer"))</f>
        <v>Mid Performer</v>
      </c>
      <c r="M419" s="2" t="str">
        <f>IF(Table1[[#This Row],[Sales Performance]]="High Performer","Eligible for Promotion",IF(Table1[[#This Row],[Sales Performance]]="Low Performer","Review Cause Effect","Room For Growth"))</f>
        <v>Room For Growth</v>
      </c>
    </row>
    <row r="420" spans="1:13" x14ac:dyDescent="0.35">
      <c r="A420">
        <v>117</v>
      </c>
      <c r="B420" t="s">
        <v>66</v>
      </c>
      <c r="C420" t="s">
        <v>16</v>
      </c>
      <c r="D420" t="s">
        <v>12</v>
      </c>
      <c r="E420" s="14" t="s">
        <v>1740</v>
      </c>
      <c r="F420" t="s">
        <v>1459</v>
      </c>
      <c r="G420" s="8">
        <v>68655</v>
      </c>
      <c r="H420" s="8">
        <v>56256</v>
      </c>
      <c r="I420" s="8">
        <v>30187</v>
      </c>
      <c r="J420" s="9">
        <v>37848</v>
      </c>
      <c r="K420" s="8">
        <f>SUM(Table1[[#This Row],[Sales (Q1)]:[Sales (Q4)]])</f>
        <v>192946</v>
      </c>
      <c r="L420" s="2" t="str">
        <f>IF(Table1[[#This Row],[Employee Total Sales]]&gt;=200000,"High Performer",IF(Table1[[#This Row],[Employee Total Sales]]&gt;=180000,"Mid Performer","Low Performer"))</f>
        <v>Mid Performer</v>
      </c>
      <c r="M420" s="2" t="str">
        <f>IF(Table1[[#This Row],[Sales Performance]]="High Performer","Eligible for Promotion",IF(Table1[[#This Row],[Sales Performance]]="Low Performer","Review Cause Effect","Room For Growth"))</f>
        <v>Room For Growth</v>
      </c>
    </row>
    <row r="421" spans="1:13" x14ac:dyDescent="0.35">
      <c r="A421">
        <v>163</v>
      </c>
      <c r="B421" t="s">
        <v>199</v>
      </c>
      <c r="C421" t="s">
        <v>27</v>
      </c>
      <c r="D421" t="s">
        <v>12</v>
      </c>
      <c r="E421" s="14" t="s">
        <v>200</v>
      </c>
      <c r="F421" t="s">
        <v>201</v>
      </c>
      <c r="G421" s="8">
        <v>28519</v>
      </c>
      <c r="H421" s="8">
        <v>55403</v>
      </c>
      <c r="I421" s="8">
        <v>36426</v>
      </c>
      <c r="J421" s="9">
        <v>72331</v>
      </c>
      <c r="K421" s="8">
        <f>SUM(Table1[[#This Row],[Sales (Q1)]:[Sales (Q4)]])</f>
        <v>192679</v>
      </c>
      <c r="L421" s="2" t="str">
        <f>IF(Table1[[#This Row],[Employee Total Sales]]&gt;=200000,"High Performer",IF(Table1[[#This Row],[Employee Total Sales]]&gt;=180000,"Mid Performer","Low Performer"))</f>
        <v>Mid Performer</v>
      </c>
      <c r="M421" s="2" t="str">
        <f>IF(Table1[[#This Row],[Sales Performance]]="High Performer","Eligible for Promotion",IF(Table1[[#This Row],[Sales Performance]]="Low Performer","Review Cause Effect","Room For Growth"))</f>
        <v>Room For Growth</v>
      </c>
    </row>
    <row r="422" spans="1:13" x14ac:dyDescent="0.35">
      <c r="A422">
        <v>488</v>
      </c>
      <c r="B422" t="s">
        <v>436</v>
      </c>
      <c r="C422" t="s">
        <v>32</v>
      </c>
      <c r="D422" t="s">
        <v>20</v>
      </c>
      <c r="E422" s="14" t="s">
        <v>1431</v>
      </c>
      <c r="F422" t="s">
        <v>1460</v>
      </c>
      <c r="G422" s="8">
        <v>71264</v>
      </c>
      <c r="H422" s="8">
        <v>21304</v>
      </c>
      <c r="I422" s="8">
        <v>23625</v>
      </c>
      <c r="J422" s="9">
        <v>76333</v>
      </c>
      <c r="K422" s="8">
        <f>SUM(Table1[[#This Row],[Sales (Q1)]:[Sales (Q4)]])</f>
        <v>192526</v>
      </c>
      <c r="L422" s="2" t="str">
        <f>IF(Table1[[#This Row],[Employee Total Sales]]&gt;=200000,"High Performer",IF(Table1[[#This Row],[Employee Total Sales]]&gt;=180000,"Mid Performer","Low Performer"))</f>
        <v>Mid Performer</v>
      </c>
      <c r="M422" s="2" t="str">
        <f>IF(Table1[[#This Row],[Sales Performance]]="High Performer","Eligible for Promotion",IF(Table1[[#This Row],[Sales Performance]]="Low Performer","Review Cause Effect","Room For Growth"))</f>
        <v>Room For Growth</v>
      </c>
    </row>
    <row r="423" spans="1:13" x14ac:dyDescent="0.35">
      <c r="A423">
        <v>199</v>
      </c>
      <c r="B423" t="s">
        <v>297</v>
      </c>
      <c r="C423" t="s">
        <v>39</v>
      </c>
      <c r="D423" t="s">
        <v>12</v>
      </c>
      <c r="E423" s="14" t="s">
        <v>1741</v>
      </c>
      <c r="F423" t="s">
        <v>1461</v>
      </c>
      <c r="G423" s="8">
        <v>38983</v>
      </c>
      <c r="H423" s="8">
        <v>62068</v>
      </c>
      <c r="I423" s="8">
        <v>39798</v>
      </c>
      <c r="J423" s="9">
        <v>51650</v>
      </c>
      <c r="K423" s="8">
        <f>SUM(Table1[[#This Row],[Sales (Q1)]:[Sales (Q4)]])</f>
        <v>192499</v>
      </c>
      <c r="L423" s="2" t="str">
        <f>IF(Table1[[#This Row],[Employee Total Sales]]&gt;=200000,"High Performer",IF(Table1[[#This Row],[Employee Total Sales]]&gt;=180000,"Mid Performer","Low Performer"))</f>
        <v>Mid Performer</v>
      </c>
      <c r="M423" s="2" t="str">
        <f>IF(Table1[[#This Row],[Sales Performance]]="High Performer","Eligible for Promotion",IF(Table1[[#This Row],[Sales Performance]]="Low Performer","Review Cause Effect","Room For Growth"))</f>
        <v>Room For Growth</v>
      </c>
    </row>
    <row r="424" spans="1:13" x14ac:dyDescent="0.35">
      <c r="A424">
        <v>124</v>
      </c>
      <c r="B424" t="s">
        <v>86</v>
      </c>
      <c r="C424" t="s">
        <v>32</v>
      </c>
      <c r="D424" t="s">
        <v>43</v>
      </c>
      <c r="E424" s="14" t="s">
        <v>87</v>
      </c>
      <c r="F424" t="s">
        <v>1462</v>
      </c>
      <c r="G424" s="8">
        <v>38803</v>
      </c>
      <c r="H424" s="8">
        <v>33774</v>
      </c>
      <c r="I424" s="8">
        <v>48173</v>
      </c>
      <c r="J424" s="9">
        <v>71495</v>
      </c>
      <c r="K424" s="8">
        <f>SUM(Table1[[#This Row],[Sales (Q1)]:[Sales (Q4)]])</f>
        <v>192245</v>
      </c>
      <c r="L424" s="2" t="str">
        <f>IF(Table1[[#This Row],[Employee Total Sales]]&gt;=200000,"High Performer",IF(Table1[[#This Row],[Employee Total Sales]]&gt;=180000,"Mid Performer","Low Performer"))</f>
        <v>Mid Performer</v>
      </c>
      <c r="M424" s="2" t="str">
        <f>IF(Table1[[#This Row],[Sales Performance]]="High Performer","Eligible for Promotion",IF(Table1[[#This Row],[Sales Performance]]="Low Performer","Review Cause Effect","Room For Growth"))</f>
        <v>Room For Growth</v>
      </c>
    </row>
    <row r="425" spans="1:13" x14ac:dyDescent="0.35">
      <c r="A425">
        <v>342</v>
      </c>
      <c r="B425" t="s">
        <v>639</v>
      </c>
      <c r="C425" t="s">
        <v>16</v>
      </c>
      <c r="D425" t="s">
        <v>20</v>
      </c>
      <c r="E425" s="14" t="s">
        <v>1463</v>
      </c>
      <c r="F425" t="s">
        <v>1464</v>
      </c>
      <c r="G425" s="8">
        <v>49718</v>
      </c>
      <c r="H425" s="8">
        <v>59094</v>
      </c>
      <c r="I425" s="8">
        <v>58705</v>
      </c>
      <c r="J425" s="9">
        <v>24511</v>
      </c>
      <c r="K425" s="8">
        <f>SUM(Table1[[#This Row],[Sales (Q1)]:[Sales (Q4)]])</f>
        <v>192028</v>
      </c>
      <c r="L425" s="2" t="str">
        <f>IF(Table1[[#This Row],[Employee Total Sales]]&gt;=200000,"High Performer",IF(Table1[[#This Row],[Employee Total Sales]]&gt;=180000,"Mid Performer","Low Performer"))</f>
        <v>Mid Performer</v>
      </c>
      <c r="M425" s="2" t="str">
        <f>IF(Table1[[#This Row],[Sales Performance]]="High Performer","Eligible for Promotion",IF(Table1[[#This Row],[Sales Performance]]="Low Performer","Review Cause Effect","Room For Growth"))</f>
        <v>Room For Growth</v>
      </c>
    </row>
    <row r="426" spans="1:13" x14ac:dyDescent="0.35">
      <c r="A426">
        <v>556</v>
      </c>
      <c r="B426" t="s">
        <v>302</v>
      </c>
      <c r="C426" t="s">
        <v>39</v>
      </c>
      <c r="D426" t="s">
        <v>12</v>
      </c>
      <c r="E426" s="14" t="s">
        <v>303</v>
      </c>
      <c r="F426" t="s">
        <v>1080</v>
      </c>
      <c r="G426" s="8">
        <v>72094</v>
      </c>
      <c r="H426" s="8">
        <v>32428</v>
      </c>
      <c r="I426" s="8">
        <v>32562</v>
      </c>
      <c r="J426" s="9">
        <v>54901</v>
      </c>
      <c r="K426" s="8">
        <f>SUM(Table1[[#This Row],[Sales (Q1)]:[Sales (Q4)]])</f>
        <v>191985</v>
      </c>
      <c r="L426" s="2" t="str">
        <f>IF(Table1[[#This Row],[Employee Total Sales]]&gt;=200000,"High Performer",IF(Table1[[#This Row],[Employee Total Sales]]&gt;=180000,"Mid Performer","Low Performer"))</f>
        <v>Mid Performer</v>
      </c>
      <c r="M426" s="2" t="str">
        <f>IF(Table1[[#This Row],[Sales Performance]]="High Performer","Eligible for Promotion",IF(Table1[[#This Row],[Sales Performance]]="Low Performer","Review Cause Effect","Room For Growth"))</f>
        <v>Room For Growth</v>
      </c>
    </row>
    <row r="427" spans="1:13" x14ac:dyDescent="0.35">
      <c r="A427">
        <v>485</v>
      </c>
      <c r="B427" t="s">
        <v>265</v>
      </c>
      <c r="C427" t="s">
        <v>11</v>
      </c>
      <c r="D427" t="s">
        <v>12</v>
      </c>
      <c r="E427" s="14" t="s">
        <v>1742</v>
      </c>
      <c r="F427" t="s">
        <v>1465</v>
      </c>
      <c r="G427" s="8">
        <v>31835</v>
      </c>
      <c r="H427" s="8">
        <v>77730</v>
      </c>
      <c r="I427" s="8">
        <v>21219</v>
      </c>
      <c r="J427" s="9">
        <v>61146</v>
      </c>
      <c r="K427" s="8">
        <f>SUM(Table1[[#This Row],[Sales (Q1)]:[Sales (Q4)]])</f>
        <v>191930</v>
      </c>
      <c r="L427" s="2" t="str">
        <f>IF(Table1[[#This Row],[Employee Total Sales]]&gt;=200000,"High Performer",IF(Table1[[#This Row],[Employee Total Sales]]&gt;=180000,"Mid Performer","Low Performer"))</f>
        <v>Mid Performer</v>
      </c>
      <c r="M427" s="2" t="str">
        <f>IF(Table1[[#This Row],[Sales Performance]]="High Performer","Eligible for Promotion",IF(Table1[[#This Row],[Sales Performance]]="Low Performer","Review Cause Effect","Room For Growth"))</f>
        <v>Room For Growth</v>
      </c>
    </row>
    <row r="428" spans="1:13" x14ac:dyDescent="0.35">
      <c r="A428">
        <v>476</v>
      </c>
      <c r="B428" t="s">
        <v>927</v>
      </c>
      <c r="C428" t="s">
        <v>39</v>
      </c>
      <c r="D428" t="s">
        <v>20</v>
      </c>
      <c r="E428" s="14" t="s">
        <v>1466</v>
      </c>
      <c r="F428" t="s">
        <v>1467</v>
      </c>
      <c r="G428" s="8">
        <v>53516</v>
      </c>
      <c r="H428" s="8">
        <v>38277</v>
      </c>
      <c r="I428" s="8">
        <v>29658</v>
      </c>
      <c r="J428" s="9">
        <v>70331</v>
      </c>
      <c r="K428" s="8">
        <f>SUM(Table1[[#This Row],[Sales (Q1)]:[Sales (Q4)]])</f>
        <v>191782</v>
      </c>
      <c r="L428" s="2" t="str">
        <f>IF(Table1[[#This Row],[Employee Total Sales]]&gt;=200000,"High Performer",IF(Table1[[#This Row],[Employee Total Sales]]&gt;=180000,"Mid Performer","Low Performer"))</f>
        <v>Mid Performer</v>
      </c>
      <c r="M428" s="2" t="str">
        <f>IF(Table1[[#This Row],[Sales Performance]]="High Performer","Eligible for Promotion",IF(Table1[[#This Row],[Sales Performance]]="Low Performer","Review Cause Effect","Room For Growth"))</f>
        <v>Room For Growth</v>
      </c>
    </row>
    <row r="429" spans="1:13" x14ac:dyDescent="0.35">
      <c r="A429">
        <v>263</v>
      </c>
      <c r="B429" t="s">
        <v>86</v>
      </c>
      <c r="C429" t="s">
        <v>11</v>
      </c>
      <c r="D429" t="s">
        <v>20</v>
      </c>
      <c r="E429" s="14" t="s">
        <v>1468</v>
      </c>
      <c r="F429" t="s">
        <v>1469</v>
      </c>
      <c r="G429" s="8">
        <v>33316</v>
      </c>
      <c r="H429" s="8">
        <v>72957</v>
      </c>
      <c r="I429" s="8">
        <v>30182</v>
      </c>
      <c r="J429" s="9">
        <v>55152</v>
      </c>
      <c r="K429" s="8">
        <f>SUM(Table1[[#This Row],[Sales (Q1)]:[Sales (Q4)]])</f>
        <v>191607</v>
      </c>
      <c r="L429" s="2" t="str">
        <f>IF(Table1[[#This Row],[Employee Total Sales]]&gt;=200000,"High Performer",IF(Table1[[#This Row],[Employee Total Sales]]&gt;=180000,"Mid Performer","Low Performer"))</f>
        <v>Mid Performer</v>
      </c>
      <c r="M429" s="2" t="str">
        <f>IF(Table1[[#This Row],[Sales Performance]]="High Performer","Eligible for Promotion",IF(Table1[[#This Row],[Sales Performance]]="Low Performer","Review Cause Effect","Room For Growth"))</f>
        <v>Room For Growth</v>
      </c>
    </row>
    <row r="430" spans="1:13" x14ac:dyDescent="0.35">
      <c r="A430">
        <v>326</v>
      </c>
      <c r="B430" t="s">
        <v>603</v>
      </c>
      <c r="C430" t="s">
        <v>32</v>
      </c>
      <c r="D430" t="s">
        <v>20</v>
      </c>
      <c r="E430" s="14" t="s">
        <v>604</v>
      </c>
      <c r="F430" t="s">
        <v>1470</v>
      </c>
      <c r="G430" s="8">
        <v>63839</v>
      </c>
      <c r="H430" s="8">
        <v>42675</v>
      </c>
      <c r="I430" s="8">
        <v>49207</v>
      </c>
      <c r="J430" s="9">
        <v>35751</v>
      </c>
      <c r="K430" s="8">
        <f>SUM(Table1[[#This Row],[Sales (Q1)]:[Sales (Q4)]])</f>
        <v>191472</v>
      </c>
      <c r="L430" s="2" t="str">
        <f>IF(Table1[[#This Row],[Employee Total Sales]]&gt;=200000,"High Performer",IF(Table1[[#This Row],[Employee Total Sales]]&gt;=180000,"Mid Performer","Low Performer"))</f>
        <v>Mid Performer</v>
      </c>
      <c r="M430" s="2" t="str">
        <f>IF(Table1[[#This Row],[Sales Performance]]="High Performer","Eligible for Promotion",IF(Table1[[#This Row],[Sales Performance]]="Low Performer","Review Cause Effect","Room For Growth"))</f>
        <v>Room For Growth</v>
      </c>
    </row>
    <row r="431" spans="1:13" x14ac:dyDescent="0.35">
      <c r="A431">
        <v>150</v>
      </c>
      <c r="B431" t="s">
        <v>162</v>
      </c>
      <c r="C431" t="s">
        <v>111</v>
      </c>
      <c r="D431" t="s">
        <v>20</v>
      </c>
      <c r="E431" s="14" t="s">
        <v>163</v>
      </c>
      <c r="F431" t="s">
        <v>1471</v>
      </c>
      <c r="G431" s="8">
        <v>55296</v>
      </c>
      <c r="H431" s="8">
        <v>51741</v>
      </c>
      <c r="I431" s="8">
        <v>42618</v>
      </c>
      <c r="J431" s="9">
        <v>41786</v>
      </c>
      <c r="K431" s="8">
        <f>SUM(Table1[[#This Row],[Sales (Q1)]:[Sales (Q4)]])</f>
        <v>191441</v>
      </c>
      <c r="L431" s="2" t="str">
        <f>IF(Table1[[#This Row],[Employee Total Sales]]&gt;=200000,"High Performer",IF(Table1[[#This Row],[Employee Total Sales]]&gt;=180000,"Mid Performer","Low Performer"))</f>
        <v>Mid Performer</v>
      </c>
      <c r="M431" s="2" t="str">
        <f>IF(Table1[[#This Row],[Sales Performance]]="High Performer","Eligible for Promotion",IF(Table1[[#This Row],[Sales Performance]]="Low Performer","Review Cause Effect","Room For Growth"))</f>
        <v>Room For Growth</v>
      </c>
    </row>
    <row r="432" spans="1:13" x14ac:dyDescent="0.35">
      <c r="A432">
        <v>433</v>
      </c>
      <c r="B432" t="s">
        <v>713</v>
      </c>
      <c r="C432" t="s">
        <v>27</v>
      </c>
      <c r="D432" t="s">
        <v>28</v>
      </c>
      <c r="E432" s="14" t="s">
        <v>835</v>
      </c>
      <c r="F432" t="s">
        <v>1472</v>
      </c>
      <c r="G432" s="8">
        <v>52225</v>
      </c>
      <c r="H432" s="8">
        <v>33151</v>
      </c>
      <c r="I432" s="8">
        <v>59996</v>
      </c>
      <c r="J432" s="9">
        <v>45731</v>
      </c>
      <c r="K432" s="8">
        <f>SUM(Table1[[#This Row],[Sales (Q1)]:[Sales (Q4)]])</f>
        <v>191103</v>
      </c>
      <c r="L432" s="2" t="str">
        <f>IF(Table1[[#This Row],[Employee Total Sales]]&gt;=200000,"High Performer",IF(Table1[[#This Row],[Employee Total Sales]]&gt;=180000,"Mid Performer","Low Performer"))</f>
        <v>Mid Performer</v>
      </c>
      <c r="M432" s="2" t="str">
        <f>IF(Table1[[#This Row],[Sales Performance]]="High Performer","Eligible for Promotion",IF(Table1[[#This Row],[Sales Performance]]="Low Performer","Review Cause Effect","Room For Growth"))</f>
        <v>Room For Growth</v>
      </c>
    </row>
    <row r="433" spans="1:13" x14ac:dyDescent="0.35">
      <c r="A433">
        <v>101</v>
      </c>
      <c r="B433" t="s">
        <v>10</v>
      </c>
      <c r="C433" t="s">
        <v>11</v>
      </c>
      <c r="D433" t="s">
        <v>12</v>
      </c>
      <c r="E433" s="14" t="s">
        <v>13</v>
      </c>
      <c r="F433" t="s">
        <v>14</v>
      </c>
      <c r="G433" s="8">
        <v>53118</v>
      </c>
      <c r="H433" s="8">
        <v>59453</v>
      </c>
      <c r="I433" s="8">
        <v>21739</v>
      </c>
      <c r="J433" s="9">
        <v>56781</v>
      </c>
      <c r="K433" s="8">
        <f>SUM(Table1[[#This Row],[Sales (Q1)]:[Sales (Q4)]])</f>
        <v>191091</v>
      </c>
      <c r="L433" s="2" t="str">
        <f>IF(Table1[[#This Row],[Employee Total Sales]]&gt;=200000,"High Performer",IF(Table1[[#This Row],[Employee Total Sales]]&gt;=180000,"Mid Performer","Low Performer"))</f>
        <v>Mid Performer</v>
      </c>
      <c r="M433" s="2" t="str">
        <f>IF(Table1[[#This Row],[Sales Performance]]="High Performer","Eligible for Promotion",IF(Table1[[#This Row],[Sales Performance]]="Low Performer","Review Cause Effect","Room For Growth"))</f>
        <v>Room For Growth</v>
      </c>
    </row>
    <row r="434" spans="1:13" x14ac:dyDescent="0.35">
      <c r="A434">
        <v>248</v>
      </c>
      <c r="B434" t="s">
        <v>419</v>
      </c>
      <c r="C434" t="s">
        <v>32</v>
      </c>
      <c r="D434" t="s">
        <v>28</v>
      </c>
      <c r="E434" s="14" t="s">
        <v>1315</v>
      </c>
      <c r="F434" t="s">
        <v>1473</v>
      </c>
      <c r="G434" s="8">
        <v>59087</v>
      </c>
      <c r="H434" s="8">
        <v>29035</v>
      </c>
      <c r="I434" s="8">
        <v>57670</v>
      </c>
      <c r="J434" s="9">
        <v>45146</v>
      </c>
      <c r="K434" s="8">
        <f>SUM(Table1[[#This Row],[Sales (Q1)]:[Sales (Q4)]])</f>
        <v>190938</v>
      </c>
      <c r="L434" s="2" t="str">
        <f>IF(Table1[[#This Row],[Employee Total Sales]]&gt;=200000,"High Performer",IF(Table1[[#This Row],[Employee Total Sales]]&gt;=180000,"Mid Performer","Low Performer"))</f>
        <v>Mid Performer</v>
      </c>
      <c r="M434" s="2" t="str">
        <f>IF(Table1[[#This Row],[Sales Performance]]="High Performer","Eligible for Promotion",IF(Table1[[#This Row],[Sales Performance]]="Low Performer","Review Cause Effect","Room For Growth"))</f>
        <v>Room For Growth</v>
      </c>
    </row>
    <row r="435" spans="1:13" x14ac:dyDescent="0.35">
      <c r="A435">
        <v>147</v>
      </c>
      <c r="B435" t="s">
        <v>155</v>
      </c>
      <c r="C435" t="s">
        <v>55</v>
      </c>
      <c r="D435" t="s">
        <v>12</v>
      </c>
      <c r="E435" s="14" t="s">
        <v>156</v>
      </c>
      <c r="F435" t="s">
        <v>1474</v>
      </c>
      <c r="G435" s="8">
        <v>32293</v>
      </c>
      <c r="H435" s="8">
        <v>53976</v>
      </c>
      <c r="I435" s="8">
        <v>43709</v>
      </c>
      <c r="J435" s="9">
        <v>60804</v>
      </c>
      <c r="K435" s="8">
        <f>SUM(Table1[[#This Row],[Sales (Q1)]:[Sales (Q4)]])</f>
        <v>190782</v>
      </c>
      <c r="L435" s="2" t="str">
        <f>IF(Table1[[#This Row],[Employee Total Sales]]&gt;=200000,"High Performer",IF(Table1[[#This Row],[Employee Total Sales]]&gt;=180000,"Mid Performer","Low Performer"))</f>
        <v>Mid Performer</v>
      </c>
      <c r="M435" s="2" t="str">
        <f>IF(Table1[[#This Row],[Sales Performance]]="High Performer","Eligible for Promotion",IF(Table1[[#This Row],[Sales Performance]]="Low Performer","Review Cause Effect","Room For Growth"))</f>
        <v>Room For Growth</v>
      </c>
    </row>
    <row r="436" spans="1:13" x14ac:dyDescent="0.35">
      <c r="A436">
        <v>539</v>
      </c>
      <c r="B436" t="s">
        <v>98</v>
      </c>
      <c r="C436" t="s">
        <v>55</v>
      </c>
      <c r="D436" t="s">
        <v>28</v>
      </c>
      <c r="E436" s="14" t="s">
        <v>1475</v>
      </c>
      <c r="F436" t="s">
        <v>1476</v>
      </c>
      <c r="G436" s="8">
        <v>75095</v>
      </c>
      <c r="H436" s="8">
        <v>53444</v>
      </c>
      <c r="I436" s="8">
        <v>38436</v>
      </c>
      <c r="J436" s="9">
        <v>22980</v>
      </c>
      <c r="K436" s="8">
        <f>SUM(Table1[[#This Row],[Sales (Q1)]:[Sales (Q4)]])</f>
        <v>189955</v>
      </c>
      <c r="L436" s="2" t="str">
        <f>IF(Table1[[#This Row],[Employee Total Sales]]&gt;=200000,"High Performer",IF(Table1[[#This Row],[Employee Total Sales]]&gt;=180000,"Mid Performer","Low Performer"))</f>
        <v>Mid Performer</v>
      </c>
      <c r="M436" s="2" t="str">
        <f>IF(Table1[[#This Row],[Sales Performance]]="High Performer","Eligible for Promotion",IF(Table1[[#This Row],[Sales Performance]]="Low Performer","Review Cause Effect","Room For Growth"))</f>
        <v>Room For Growth</v>
      </c>
    </row>
    <row r="437" spans="1:13" x14ac:dyDescent="0.35">
      <c r="A437">
        <v>353</v>
      </c>
      <c r="B437" t="s">
        <v>662</v>
      </c>
      <c r="C437" t="s">
        <v>55</v>
      </c>
      <c r="D437" t="s">
        <v>20</v>
      </c>
      <c r="E437" s="14" t="s">
        <v>1477</v>
      </c>
      <c r="F437" t="s">
        <v>664</v>
      </c>
      <c r="G437" s="8">
        <v>52702</v>
      </c>
      <c r="H437" s="8">
        <v>68307</v>
      </c>
      <c r="I437" s="8">
        <v>33085</v>
      </c>
      <c r="J437" s="9">
        <v>35391</v>
      </c>
      <c r="K437" s="8">
        <f>SUM(Table1[[#This Row],[Sales (Q1)]:[Sales (Q4)]])</f>
        <v>189485</v>
      </c>
      <c r="L437" s="2" t="str">
        <f>IF(Table1[[#This Row],[Employee Total Sales]]&gt;=200000,"High Performer",IF(Table1[[#This Row],[Employee Total Sales]]&gt;=180000,"Mid Performer","Low Performer"))</f>
        <v>Mid Performer</v>
      </c>
      <c r="M437" s="2" t="str">
        <f>IF(Table1[[#This Row],[Sales Performance]]="High Performer","Eligible for Promotion",IF(Table1[[#This Row],[Sales Performance]]="Low Performer","Review Cause Effect","Room For Growth"))</f>
        <v>Room For Growth</v>
      </c>
    </row>
    <row r="438" spans="1:13" x14ac:dyDescent="0.35">
      <c r="A438">
        <v>555</v>
      </c>
      <c r="B438" t="s">
        <v>131</v>
      </c>
      <c r="C438" t="s">
        <v>111</v>
      </c>
      <c r="D438" t="s">
        <v>43</v>
      </c>
      <c r="E438" s="14" t="s">
        <v>1077</v>
      </c>
      <c r="F438" t="s">
        <v>1478</v>
      </c>
      <c r="G438" s="8">
        <v>21375</v>
      </c>
      <c r="H438" s="8">
        <v>74489</v>
      </c>
      <c r="I438" s="8">
        <v>64397</v>
      </c>
      <c r="J438" s="9">
        <v>28994</v>
      </c>
      <c r="K438" s="8">
        <f>SUM(Table1[[#This Row],[Sales (Q1)]:[Sales (Q4)]])</f>
        <v>189255</v>
      </c>
      <c r="L438" s="2" t="str">
        <f>IF(Table1[[#This Row],[Employee Total Sales]]&gt;=200000,"High Performer",IF(Table1[[#This Row],[Employee Total Sales]]&gt;=180000,"Mid Performer","Low Performer"))</f>
        <v>Mid Performer</v>
      </c>
      <c r="M438" s="2" t="str">
        <f>IF(Table1[[#This Row],[Sales Performance]]="High Performer","Eligible for Promotion",IF(Table1[[#This Row],[Sales Performance]]="Low Performer","Review Cause Effect","Room For Growth"))</f>
        <v>Room For Growth</v>
      </c>
    </row>
    <row r="439" spans="1:13" x14ac:dyDescent="0.35">
      <c r="A439">
        <v>398</v>
      </c>
      <c r="B439" t="s">
        <v>416</v>
      </c>
      <c r="C439" t="s">
        <v>27</v>
      </c>
      <c r="D439" t="s">
        <v>43</v>
      </c>
      <c r="E439" s="14" t="s">
        <v>1479</v>
      </c>
      <c r="F439" t="s">
        <v>764</v>
      </c>
      <c r="G439" s="8">
        <v>67079</v>
      </c>
      <c r="H439" s="8">
        <v>68055</v>
      </c>
      <c r="I439" s="8">
        <v>28096</v>
      </c>
      <c r="J439" s="9">
        <v>25976</v>
      </c>
      <c r="K439" s="8">
        <f>SUM(Table1[[#This Row],[Sales (Q1)]:[Sales (Q4)]])</f>
        <v>189206</v>
      </c>
      <c r="L439" s="2" t="str">
        <f>IF(Table1[[#This Row],[Employee Total Sales]]&gt;=200000,"High Performer",IF(Table1[[#This Row],[Employee Total Sales]]&gt;=180000,"Mid Performer","Low Performer"))</f>
        <v>Mid Performer</v>
      </c>
      <c r="M439" s="2" t="str">
        <f>IF(Table1[[#This Row],[Sales Performance]]="High Performer","Eligible for Promotion",IF(Table1[[#This Row],[Sales Performance]]="Low Performer","Review Cause Effect","Room For Growth"))</f>
        <v>Room For Growth</v>
      </c>
    </row>
    <row r="440" spans="1:13" x14ac:dyDescent="0.35">
      <c r="A440">
        <v>200</v>
      </c>
      <c r="B440" t="s">
        <v>86</v>
      </c>
      <c r="C440" t="s">
        <v>16</v>
      </c>
      <c r="D440" t="s">
        <v>28</v>
      </c>
      <c r="E440" s="14" t="s">
        <v>1468</v>
      </c>
      <c r="F440" t="s">
        <v>1480</v>
      </c>
      <c r="G440" s="8">
        <v>46130</v>
      </c>
      <c r="H440" s="8">
        <v>28569</v>
      </c>
      <c r="I440" s="8">
        <v>69850</v>
      </c>
      <c r="J440" s="9">
        <v>44283</v>
      </c>
      <c r="K440" s="8">
        <f>SUM(Table1[[#This Row],[Sales (Q1)]:[Sales (Q4)]])</f>
        <v>188832</v>
      </c>
      <c r="L440" s="2" t="str">
        <f>IF(Table1[[#This Row],[Employee Total Sales]]&gt;=200000,"High Performer",IF(Table1[[#This Row],[Employee Total Sales]]&gt;=180000,"Mid Performer","Low Performer"))</f>
        <v>Mid Performer</v>
      </c>
      <c r="M440" s="2" t="str">
        <f>IF(Table1[[#This Row],[Sales Performance]]="High Performer","Eligible for Promotion",IF(Table1[[#This Row],[Sales Performance]]="Low Performer","Review Cause Effect","Room For Growth"))</f>
        <v>Room For Growth</v>
      </c>
    </row>
    <row r="441" spans="1:13" x14ac:dyDescent="0.35">
      <c r="A441">
        <v>247</v>
      </c>
      <c r="B441" t="s">
        <v>416</v>
      </c>
      <c r="C441" t="s">
        <v>111</v>
      </c>
      <c r="D441" t="s">
        <v>12</v>
      </c>
      <c r="E441" s="14" t="s">
        <v>417</v>
      </c>
      <c r="F441" t="s">
        <v>1481</v>
      </c>
      <c r="G441" s="8">
        <v>27486</v>
      </c>
      <c r="H441" s="8">
        <v>42801</v>
      </c>
      <c r="I441" s="8">
        <v>43067</v>
      </c>
      <c r="J441" s="9">
        <v>75411</v>
      </c>
      <c r="K441" s="8">
        <f>SUM(Table1[[#This Row],[Sales (Q1)]:[Sales (Q4)]])</f>
        <v>188765</v>
      </c>
      <c r="L441" s="2" t="str">
        <f>IF(Table1[[#This Row],[Employee Total Sales]]&gt;=200000,"High Performer",IF(Table1[[#This Row],[Employee Total Sales]]&gt;=180000,"Mid Performer","Low Performer"))</f>
        <v>Mid Performer</v>
      </c>
      <c r="M441" s="2" t="str">
        <f>IF(Table1[[#This Row],[Sales Performance]]="High Performer","Eligible for Promotion",IF(Table1[[#This Row],[Sales Performance]]="Low Performer","Review Cause Effect","Room For Growth"))</f>
        <v>Room For Growth</v>
      </c>
    </row>
    <row r="442" spans="1:13" x14ac:dyDescent="0.35">
      <c r="A442">
        <v>350</v>
      </c>
      <c r="B442" t="s">
        <v>190</v>
      </c>
      <c r="C442" t="s">
        <v>11</v>
      </c>
      <c r="D442" t="s">
        <v>20</v>
      </c>
      <c r="E442" s="14" t="s">
        <v>1482</v>
      </c>
      <c r="F442" t="s">
        <v>657</v>
      </c>
      <c r="G442" s="8">
        <v>59738</v>
      </c>
      <c r="H442" s="8">
        <v>32748</v>
      </c>
      <c r="I442" s="8">
        <v>49803</v>
      </c>
      <c r="J442" s="9">
        <v>46473</v>
      </c>
      <c r="K442" s="8">
        <f>SUM(Table1[[#This Row],[Sales (Q1)]:[Sales (Q4)]])</f>
        <v>188762</v>
      </c>
      <c r="L442" s="2" t="str">
        <f>IF(Table1[[#This Row],[Employee Total Sales]]&gt;=200000,"High Performer",IF(Table1[[#This Row],[Employee Total Sales]]&gt;=180000,"Mid Performer","Low Performer"))</f>
        <v>Mid Performer</v>
      </c>
      <c r="M442" s="2" t="str">
        <f>IF(Table1[[#This Row],[Sales Performance]]="High Performer","Eligible for Promotion",IF(Table1[[#This Row],[Sales Performance]]="Low Performer","Review Cause Effect","Room For Growth"))</f>
        <v>Room For Growth</v>
      </c>
    </row>
    <row r="443" spans="1:13" x14ac:dyDescent="0.35">
      <c r="A443">
        <v>400</v>
      </c>
      <c r="B443" t="s">
        <v>591</v>
      </c>
      <c r="C443" t="s">
        <v>27</v>
      </c>
      <c r="D443" t="s">
        <v>28</v>
      </c>
      <c r="E443" s="14" t="s">
        <v>1483</v>
      </c>
      <c r="F443" t="s">
        <v>1484</v>
      </c>
      <c r="G443" s="8">
        <v>60800</v>
      </c>
      <c r="H443" s="8">
        <v>70160</v>
      </c>
      <c r="I443" s="8">
        <v>36587</v>
      </c>
      <c r="J443" s="9">
        <v>20800</v>
      </c>
      <c r="K443" s="8">
        <f>SUM(Table1[[#This Row],[Sales (Q1)]:[Sales (Q4)]])</f>
        <v>188347</v>
      </c>
      <c r="L443" s="2" t="str">
        <f>IF(Table1[[#This Row],[Employee Total Sales]]&gt;=200000,"High Performer",IF(Table1[[#This Row],[Employee Total Sales]]&gt;=180000,"Mid Performer","Low Performer"))</f>
        <v>Mid Performer</v>
      </c>
      <c r="M443" s="2" t="str">
        <f>IF(Table1[[#This Row],[Sales Performance]]="High Performer","Eligible for Promotion",IF(Table1[[#This Row],[Sales Performance]]="Low Performer","Review Cause Effect","Room For Growth"))</f>
        <v>Room For Growth</v>
      </c>
    </row>
    <row r="444" spans="1:13" x14ac:dyDescent="0.35">
      <c r="A444">
        <v>528</v>
      </c>
      <c r="B444" t="s">
        <v>617</v>
      </c>
      <c r="C444" t="s">
        <v>16</v>
      </c>
      <c r="D444" t="s">
        <v>28</v>
      </c>
      <c r="E444" s="14" t="s">
        <v>1028</v>
      </c>
      <c r="F444" t="s">
        <v>1485</v>
      </c>
      <c r="G444" s="8">
        <v>25116</v>
      </c>
      <c r="H444" s="8">
        <v>44202</v>
      </c>
      <c r="I444" s="8">
        <v>64356</v>
      </c>
      <c r="J444" s="9">
        <v>54488</v>
      </c>
      <c r="K444" s="8">
        <f>SUM(Table1[[#This Row],[Sales (Q1)]:[Sales (Q4)]])</f>
        <v>188162</v>
      </c>
      <c r="L444" s="2" t="str">
        <f>IF(Table1[[#This Row],[Employee Total Sales]]&gt;=200000,"High Performer",IF(Table1[[#This Row],[Employee Total Sales]]&gt;=180000,"Mid Performer","Low Performer"))</f>
        <v>Mid Performer</v>
      </c>
      <c r="M444" s="2" t="str">
        <f>IF(Table1[[#This Row],[Sales Performance]]="High Performer","Eligible for Promotion",IF(Table1[[#This Row],[Sales Performance]]="Low Performer","Review Cause Effect","Room For Growth"))</f>
        <v>Room For Growth</v>
      </c>
    </row>
    <row r="445" spans="1:13" x14ac:dyDescent="0.35">
      <c r="A445">
        <v>275</v>
      </c>
      <c r="B445" t="s">
        <v>487</v>
      </c>
      <c r="C445" t="s">
        <v>16</v>
      </c>
      <c r="D445" t="s">
        <v>28</v>
      </c>
      <c r="E445" s="14" t="s">
        <v>488</v>
      </c>
      <c r="F445" t="s">
        <v>489</v>
      </c>
      <c r="G445" s="8">
        <v>79526</v>
      </c>
      <c r="H445" s="8">
        <v>32265</v>
      </c>
      <c r="I445" s="8">
        <v>38021</v>
      </c>
      <c r="J445" s="9">
        <v>38340</v>
      </c>
      <c r="K445" s="8">
        <f>SUM(Table1[[#This Row],[Sales (Q1)]:[Sales (Q4)]])</f>
        <v>188152</v>
      </c>
      <c r="L445" s="2" t="str">
        <f>IF(Table1[[#This Row],[Employee Total Sales]]&gt;=200000,"High Performer",IF(Table1[[#This Row],[Employee Total Sales]]&gt;=180000,"Mid Performer","Low Performer"))</f>
        <v>Mid Performer</v>
      </c>
      <c r="M445" s="2" t="str">
        <f>IF(Table1[[#This Row],[Sales Performance]]="High Performer","Eligible for Promotion",IF(Table1[[#This Row],[Sales Performance]]="Low Performer","Review Cause Effect","Room For Growth"))</f>
        <v>Room For Growth</v>
      </c>
    </row>
    <row r="446" spans="1:13" x14ac:dyDescent="0.35">
      <c r="A446">
        <v>568</v>
      </c>
      <c r="B446" t="s">
        <v>107</v>
      </c>
      <c r="C446" t="s">
        <v>55</v>
      </c>
      <c r="D446" t="s">
        <v>43</v>
      </c>
      <c r="E446" s="14" t="s">
        <v>108</v>
      </c>
      <c r="F446" t="s">
        <v>1486</v>
      </c>
      <c r="G446" s="8">
        <v>30405</v>
      </c>
      <c r="H446" s="8">
        <v>59564</v>
      </c>
      <c r="I446" s="8">
        <v>57689</v>
      </c>
      <c r="J446" s="9">
        <v>40336</v>
      </c>
      <c r="K446" s="8">
        <f>SUM(Table1[[#This Row],[Sales (Q1)]:[Sales (Q4)]])</f>
        <v>187994</v>
      </c>
      <c r="L446" s="2" t="str">
        <f>IF(Table1[[#This Row],[Employee Total Sales]]&gt;=200000,"High Performer",IF(Table1[[#This Row],[Employee Total Sales]]&gt;=180000,"Mid Performer","Low Performer"))</f>
        <v>Mid Performer</v>
      </c>
      <c r="M446" s="2" t="str">
        <f>IF(Table1[[#This Row],[Sales Performance]]="High Performer","Eligible for Promotion",IF(Table1[[#This Row],[Sales Performance]]="Low Performer","Review Cause Effect","Room For Growth"))</f>
        <v>Room For Growth</v>
      </c>
    </row>
    <row r="447" spans="1:13" x14ac:dyDescent="0.35">
      <c r="A447">
        <v>102</v>
      </c>
      <c r="B447" t="s">
        <v>15</v>
      </c>
      <c r="C447" t="s">
        <v>16</v>
      </c>
      <c r="D447" t="s">
        <v>12</v>
      </c>
      <c r="E447" s="14" t="s">
        <v>17</v>
      </c>
      <c r="F447" t="s">
        <v>1487</v>
      </c>
      <c r="G447" s="8">
        <v>26338</v>
      </c>
      <c r="H447" s="8">
        <v>43526</v>
      </c>
      <c r="I447" s="8">
        <v>75541</v>
      </c>
      <c r="J447" s="9">
        <v>42541</v>
      </c>
      <c r="K447" s="8">
        <f>SUM(Table1[[#This Row],[Sales (Q1)]:[Sales (Q4)]])</f>
        <v>187946</v>
      </c>
      <c r="L447" s="2" t="str">
        <f>IF(Table1[[#This Row],[Employee Total Sales]]&gt;=200000,"High Performer",IF(Table1[[#This Row],[Employee Total Sales]]&gt;=180000,"Mid Performer","Low Performer"))</f>
        <v>Mid Performer</v>
      </c>
      <c r="M447" s="2" t="str">
        <f>IF(Table1[[#This Row],[Sales Performance]]="High Performer","Eligible for Promotion",IF(Table1[[#This Row],[Sales Performance]]="Low Performer","Review Cause Effect","Room For Growth"))</f>
        <v>Room For Growth</v>
      </c>
    </row>
    <row r="448" spans="1:13" x14ac:dyDescent="0.35">
      <c r="A448">
        <v>140</v>
      </c>
      <c r="B448" t="s">
        <v>134</v>
      </c>
      <c r="C448" t="s">
        <v>32</v>
      </c>
      <c r="D448" t="s">
        <v>12</v>
      </c>
      <c r="E448" s="14" t="s">
        <v>1488</v>
      </c>
      <c r="F448" t="s">
        <v>136</v>
      </c>
      <c r="G448" s="8">
        <v>23367</v>
      </c>
      <c r="H448" s="8">
        <v>36546</v>
      </c>
      <c r="I448" s="8">
        <v>76473</v>
      </c>
      <c r="J448" s="9">
        <v>51308</v>
      </c>
      <c r="K448" s="8">
        <f>SUM(Table1[[#This Row],[Sales (Q1)]:[Sales (Q4)]])</f>
        <v>187694</v>
      </c>
      <c r="L448" s="2" t="str">
        <f>IF(Table1[[#This Row],[Employee Total Sales]]&gt;=200000,"High Performer",IF(Table1[[#This Row],[Employee Total Sales]]&gt;=180000,"Mid Performer","Low Performer"))</f>
        <v>Mid Performer</v>
      </c>
      <c r="M448" s="2" t="str">
        <f>IF(Table1[[#This Row],[Sales Performance]]="High Performer","Eligible for Promotion",IF(Table1[[#This Row],[Sales Performance]]="Low Performer","Review Cause Effect","Room For Growth"))</f>
        <v>Room For Growth</v>
      </c>
    </row>
    <row r="449" spans="1:13" x14ac:dyDescent="0.35">
      <c r="A449">
        <v>428</v>
      </c>
      <c r="B449" t="s">
        <v>735</v>
      </c>
      <c r="C449" t="s">
        <v>27</v>
      </c>
      <c r="D449" t="s">
        <v>20</v>
      </c>
      <c r="E449" s="14" t="s">
        <v>1489</v>
      </c>
      <c r="F449" t="s">
        <v>825</v>
      </c>
      <c r="G449" s="8">
        <v>50409</v>
      </c>
      <c r="H449" s="8">
        <v>46132</v>
      </c>
      <c r="I449" s="8">
        <v>51210</v>
      </c>
      <c r="J449" s="9">
        <v>39750</v>
      </c>
      <c r="K449" s="8">
        <f>SUM(Table1[[#This Row],[Sales (Q1)]:[Sales (Q4)]])</f>
        <v>187501</v>
      </c>
      <c r="L449" s="2" t="str">
        <f>IF(Table1[[#This Row],[Employee Total Sales]]&gt;=200000,"High Performer",IF(Table1[[#This Row],[Employee Total Sales]]&gt;=180000,"Mid Performer","Low Performer"))</f>
        <v>Mid Performer</v>
      </c>
      <c r="M449" s="2" t="str">
        <f>IF(Table1[[#This Row],[Sales Performance]]="High Performer","Eligible for Promotion",IF(Table1[[#This Row],[Sales Performance]]="Low Performer","Review Cause Effect","Room For Growth"))</f>
        <v>Room For Growth</v>
      </c>
    </row>
    <row r="450" spans="1:13" x14ac:dyDescent="0.35">
      <c r="A450">
        <v>436</v>
      </c>
      <c r="B450" t="s">
        <v>212</v>
      </c>
      <c r="C450" t="s">
        <v>111</v>
      </c>
      <c r="D450" t="s">
        <v>12</v>
      </c>
      <c r="E450" s="14" t="s">
        <v>1117</v>
      </c>
      <c r="F450" t="s">
        <v>842</v>
      </c>
      <c r="G450" s="8">
        <v>56338</v>
      </c>
      <c r="H450" s="8">
        <v>22577</v>
      </c>
      <c r="I450" s="8">
        <v>45176</v>
      </c>
      <c r="J450" s="9">
        <v>63301</v>
      </c>
      <c r="K450" s="8">
        <f>SUM(Table1[[#This Row],[Sales (Q1)]:[Sales (Q4)]])</f>
        <v>187392</v>
      </c>
      <c r="L450" s="2" t="str">
        <f>IF(Table1[[#This Row],[Employee Total Sales]]&gt;=200000,"High Performer",IF(Table1[[#This Row],[Employee Total Sales]]&gt;=180000,"Mid Performer","Low Performer"))</f>
        <v>Mid Performer</v>
      </c>
      <c r="M450" s="2" t="str">
        <f>IF(Table1[[#This Row],[Sales Performance]]="High Performer","Eligible for Promotion",IF(Table1[[#This Row],[Sales Performance]]="Low Performer","Review Cause Effect","Room For Growth"))</f>
        <v>Room For Growth</v>
      </c>
    </row>
    <row r="451" spans="1:13" x14ac:dyDescent="0.35">
      <c r="A451">
        <v>249</v>
      </c>
      <c r="B451" t="s">
        <v>422</v>
      </c>
      <c r="C451" t="s">
        <v>11</v>
      </c>
      <c r="D451" t="s">
        <v>43</v>
      </c>
      <c r="E451" s="14" t="s">
        <v>462</v>
      </c>
      <c r="F451" t="s">
        <v>1490</v>
      </c>
      <c r="G451" s="8">
        <v>51759</v>
      </c>
      <c r="H451" s="8">
        <v>28947</v>
      </c>
      <c r="I451" s="8">
        <v>32787</v>
      </c>
      <c r="J451" s="9">
        <v>73425</v>
      </c>
      <c r="K451" s="8">
        <f>SUM(Table1[[#This Row],[Sales (Q1)]:[Sales (Q4)]])</f>
        <v>186918</v>
      </c>
      <c r="L451" s="2" t="str">
        <f>IF(Table1[[#This Row],[Employee Total Sales]]&gt;=200000,"High Performer",IF(Table1[[#This Row],[Employee Total Sales]]&gt;=180000,"Mid Performer","Low Performer"))</f>
        <v>Mid Performer</v>
      </c>
      <c r="M451" s="2" t="str">
        <f>IF(Table1[[#This Row],[Sales Performance]]="High Performer","Eligible for Promotion",IF(Table1[[#This Row],[Sales Performance]]="Low Performer","Review Cause Effect","Room For Growth"))</f>
        <v>Room For Growth</v>
      </c>
    </row>
    <row r="452" spans="1:13" x14ac:dyDescent="0.35">
      <c r="A452">
        <v>460</v>
      </c>
      <c r="B452" t="s">
        <v>235</v>
      </c>
      <c r="C452" t="s">
        <v>11</v>
      </c>
      <c r="D452" t="s">
        <v>28</v>
      </c>
      <c r="E452" s="14" t="s">
        <v>412</v>
      </c>
      <c r="F452" t="s">
        <v>1491</v>
      </c>
      <c r="G452" s="8">
        <v>41388</v>
      </c>
      <c r="H452" s="8">
        <v>23606</v>
      </c>
      <c r="I452" s="8">
        <v>59855</v>
      </c>
      <c r="J452" s="9">
        <v>62029</v>
      </c>
      <c r="K452" s="8">
        <f>SUM(Table1[[#This Row],[Sales (Q1)]:[Sales (Q4)]])</f>
        <v>186878</v>
      </c>
      <c r="L452" s="2" t="str">
        <f>IF(Table1[[#This Row],[Employee Total Sales]]&gt;=200000,"High Performer",IF(Table1[[#This Row],[Employee Total Sales]]&gt;=180000,"Mid Performer","Low Performer"))</f>
        <v>Mid Performer</v>
      </c>
      <c r="M452" s="2" t="str">
        <f>IF(Table1[[#This Row],[Sales Performance]]="High Performer","Eligible for Promotion",IF(Table1[[#This Row],[Sales Performance]]="Low Performer","Review Cause Effect","Room For Growth"))</f>
        <v>Room For Growth</v>
      </c>
    </row>
    <row r="453" spans="1:13" x14ac:dyDescent="0.35">
      <c r="A453">
        <v>446</v>
      </c>
      <c r="B453" t="s">
        <v>23</v>
      </c>
      <c r="C453" t="s">
        <v>111</v>
      </c>
      <c r="D453" t="s">
        <v>43</v>
      </c>
      <c r="E453" s="14" t="s">
        <v>863</v>
      </c>
      <c r="F453" t="s">
        <v>864</v>
      </c>
      <c r="G453" s="8">
        <v>59939</v>
      </c>
      <c r="H453" s="8">
        <v>49818</v>
      </c>
      <c r="I453" s="8">
        <v>31669</v>
      </c>
      <c r="J453" s="9">
        <v>45384</v>
      </c>
      <c r="K453" s="8">
        <f>SUM(Table1[[#This Row],[Sales (Q1)]:[Sales (Q4)]])</f>
        <v>186810</v>
      </c>
      <c r="L453" s="2" t="str">
        <f>IF(Table1[[#This Row],[Employee Total Sales]]&gt;=200000,"High Performer",IF(Table1[[#This Row],[Employee Total Sales]]&gt;=180000,"Mid Performer","Low Performer"))</f>
        <v>Mid Performer</v>
      </c>
      <c r="M453" s="2" t="str">
        <f>IF(Table1[[#This Row],[Sales Performance]]="High Performer","Eligible for Promotion",IF(Table1[[#This Row],[Sales Performance]]="Low Performer","Review Cause Effect","Room For Growth"))</f>
        <v>Room For Growth</v>
      </c>
    </row>
    <row r="454" spans="1:13" x14ac:dyDescent="0.35">
      <c r="A454">
        <v>441</v>
      </c>
      <c r="B454" t="s">
        <v>521</v>
      </c>
      <c r="C454" t="s">
        <v>16</v>
      </c>
      <c r="D454" t="s">
        <v>43</v>
      </c>
      <c r="E454" s="14" t="s">
        <v>1743</v>
      </c>
      <c r="F454" t="s">
        <v>1492</v>
      </c>
      <c r="G454" s="8">
        <v>31758</v>
      </c>
      <c r="H454" s="8">
        <v>25841</v>
      </c>
      <c r="I454" s="8">
        <v>66316</v>
      </c>
      <c r="J454" s="9">
        <v>62713</v>
      </c>
      <c r="K454" s="8">
        <f>SUM(Table1[[#This Row],[Sales (Q1)]:[Sales (Q4)]])</f>
        <v>186628</v>
      </c>
      <c r="L454" s="2" t="str">
        <f>IF(Table1[[#This Row],[Employee Total Sales]]&gt;=200000,"High Performer",IF(Table1[[#This Row],[Employee Total Sales]]&gt;=180000,"Mid Performer","Low Performer"))</f>
        <v>Mid Performer</v>
      </c>
      <c r="M454" s="2" t="str">
        <f>IF(Table1[[#This Row],[Sales Performance]]="High Performer","Eligible for Promotion",IF(Table1[[#This Row],[Sales Performance]]="Low Performer","Review Cause Effect","Room For Growth"))</f>
        <v>Room For Growth</v>
      </c>
    </row>
    <row r="455" spans="1:13" x14ac:dyDescent="0.35">
      <c r="A455">
        <v>236</v>
      </c>
      <c r="B455" t="s">
        <v>248</v>
      </c>
      <c r="C455" t="s">
        <v>11</v>
      </c>
      <c r="D455" t="s">
        <v>20</v>
      </c>
      <c r="E455" s="14" t="s">
        <v>392</v>
      </c>
      <c r="F455" t="s">
        <v>1493</v>
      </c>
      <c r="G455" s="8">
        <v>32280</v>
      </c>
      <c r="H455" s="8">
        <v>48244</v>
      </c>
      <c r="I455" s="8">
        <v>49415</v>
      </c>
      <c r="J455" s="9">
        <v>56502</v>
      </c>
      <c r="K455" s="8">
        <f>SUM(Table1[[#This Row],[Sales (Q1)]:[Sales (Q4)]])</f>
        <v>186441</v>
      </c>
      <c r="L455" s="2" t="str">
        <f>IF(Table1[[#This Row],[Employee Total Sales]]&gt;=200000,"High Performer",IF(Table1[[#This Row],[Employee Total Sales]]&gt;=180000,"Mid Performer","Low Performer"))</f>
        <v>Mid Performer</v>
      </c>
      <c r="M455" s="2" t="str">
        <f>IF(Table1[[#This Row],[Sales Performance]]="High Performer","Eligible for Promotion",IF(Table1[[#This Row],[Sales Performance]]="Low Performer","Review Cause Effect","Room For Growth"))</f>
        <v>Room For Growth</v>
      </c>
    </row>
    <row r="456" spans="1:13" x14ac:dyDescent="0.35">
      <c r="A456">
        <v>496</v>
      </c>
      <c r="B456" t="s">
        <v>342</v>
      </c>
      <c r="C456" t="s">
        <v>39</v>
      </c>
      <c r="D456" t="s">
        <v>28</v>
      </c>
      <c r="E456" s="14" t="s">
        <v>1186</v>
      </c>
      <c r="F456" t="s">
        <v>1494</v>
      </c>
      <c r="G456" s="8">
        <v>50305</v>
      </c>
      <c r="H456" s="8">
        <v>32993</v>
      </c>
      <c r="I456" s="8">
        <v>37156</v>
      </c>
      <c r="J456" s="9">
        <v>65957</v>
      </c>
      <c r="K456" s="8">
        <f>SUM(Table1[[#This Row],[Sales (Q1)]:[Sales (Q4)]])</f>
        <v>186411</v>
      </c>
      <c r="L456" s="2" t="str">
        <f>IF(Table1[[#This Row],[Employee Total Sales]]&gt;=200000,"High Performer",IF(Table1[[#This Row],[Employee Total Sales]]&gt;=180000,"Mid Performer","Low Performer"))</f>
        <v>Mid Performer</v>
      </c>
      <c r="M456" s="2" t="str">
        <f>IF(Table1[[#This Row],[Sales Performance]]="High Performer","Eligible for Promotion",IF(Table1[[#This Row],[Sales Performance]]="Low Performer","Review Cause Effect","Room For Growth"))</f>
        <v>Room For Growth</v>
      </c>
    </row>
    <row r="457" spans="1:13" x14ac:dyDescent="0.35">
      <c r="A457">
        <v>547</v>
      </c>
      <c r="B457" t="s">
        <v>1064</v>
      </c>
      <c r="C457" t="s">
        <v>16</v>
      </c>
      <c r="D457" t="s">
        <v>28</v>
      </c>
      <c r="E457" s="14" t="s">
        <v>1744</v>
      </c>
      <c r="F457" t="s">
        <v>1495</v>
      </c>
      <c r="G457" s="8">
        <v>54057</v>
      </c>
      <c r="H457" s="8">
        <v>72042</v>
      </c>
      <c r="I457" s="8">
        <v>35515</v>
      </c>
      <c r="J457" s="9">
        <v>24778</v>
      </c>
      <c r="K457" s="8">
        <f>SUM(Table1[[#This Row],[Sales (Q1)]:[Sales (Q4)]])</f>
        <v>186392</v>
      </c>
      <c r="L457" s="2" t="str">
        <f>IF(Table1[[#This Row],[Employee Total Sales]]&gt;=200000,"High Performer",IF(Table1[[#This Row],[Employee Total Sales]]&gt;=180000,"Mid Performer","Low Performer"))</f>
        <v>Mid Performer</v>
      </c>
      <c r="M457" s="2" t="str">
        <f>IF(Table1[[#This Row],[Sales Performance]]="High Performer","Eligible for Promotion",IF(Table1[[#This Row],[Sales Performance]]="Low Performer","Review Cause Effect","Room For Growth"))</f>
        <v>Room For Growth</v>
      </c>
    </row>
    <row r="458" spans="1:13" x14ac:dyDescent="0.35">
      <c r="A458">
        <v>159</v>
      </c>
      <c r="B458" t="s">
        <v>187</v>
      </c>
      <c r="C458" t="s">
        <v>16</v>
      </c>
      <c r="D458" t="s">
        <v>28</v>
      </c>
      <c r="E458" s="14" t="s">
        <v>188</v>
      </c>
      <c r="F458" t="s">
        <v>1496</v>
      </c>
      <c r="G458" s="8">
        <v>28099</v>
      </c>
      <c r="H458" s="8">
        <v>49804</v>
      </c>
      <c r="I458" s="8">
        <v>44155</v>
      </c>
      <c r="J458" s="9">
        <v>64094</v>
      </c>
      <c r="K458" s="8">
        <f>SUM(Table1[[#This Row],[Sales (Q1)]:[Sales (Q4)]])</f>
        <v>186152</v>
      </c>
      <c r="L458" s="2" t="str">
        <f>IF(Table1[[#This Row],[Employee Total Sales]]&gt;=200000,"High Performer",IF(Table1[[#This Row],[Employee Total Sales]]&gt;=180000,"Mid Performer","Low Performer"))</f>
        <v>Mid Performer</v>
      </c>
      <c r="M458" s="2" t="str">
        <f>IF(Table1[[#This Row],[Sales Performance]]="High Performer","Eligible for Promotion",IF(Table1[[#This Row],[Sales Performance]]="Low Performer","Review Cause Effect","Room For Growth"))</f>
        <v>Room For Growth</v>
      </c>
    </row>
    <row r="459" spans="1:13" x14ac:dyDescent="0.35">
      <c r="A459">
        <v>265</v>
      </c>
      <c r="B459" t="s">
        <v>422</v>
      </c>
      <c r="C459" t="s">
        <v>111</v>
      </c>
      <c r="D459" t="s">
        <v>12</v>
      </c>
      <c r="E459" s="14" t="s">
        <v>462</v>
      </c>
      <c r="F459" t="s">
        <v>1497</v>
      </c>
      <c r="G459" s="8">
        <v>24185</v>
      </c>
      <c r="H459" s="8">
        <v>37232</v>
      </c>
      <c r="I459" s="8">
        <v>66682</v>
      </c>
      <c r="J459" s="9">
        <v>57791</v>
      </c>
      <c r="K459" s="8">
        <f>SUM(Table1[[#This Row],[Sales (Q1)]:[Sales (Q4)]])</f>
        <v>185890</v>
      </c>
      <c r="L459" s="2" t="str">
        <f>IF(Table1[[#This Row],[Employee Total Sales]]&gt;=200000,"High Performer",IF(Table1[[#This Row],[Employee Total Sales]]&gt;=180000,"Mid Performer","Low Performer"))</f>
        <v>Mid Performer</v>
      </c>
      <c r="M459" s="2" t="str">
        <f>IF(Table1[[#This Row],[Sales Performance]]="High Performer","Eligible for Promotion",IF(Table1[[#This Row],[Sales Performance]]="Low Performer","Review Cause Effect","Room For Growth"))</f>
        <v>Room For Growth</v>
      </c>
    </row>
    <row r="460" spans="1:13" x14ac:dyDescent="0.35">
      <c r="A460">
        <v>450</v>
      </c>
      <c r="B460" t="s">
        <v>436</v>
      </c>
      <c r="C460" t="s">
        <v>39</v>
      </c>
      <c r="D460" t="s">
        <v>28</v>
      </c>
      <c r="E460" s="14" t="s">
        <v>1745</v>
      </c>
      <c r="F460" t="s">
        <v>1498</v>
      </c>
      <c r="G460" s="8">
        <v>51443</v>
      </c>
      <c r="H460" s="8">
        <v>63845</v>
      </c>
      <c r="I460" s="8">
        <v>39977</v>
      </c>
      <c r="J460" s="9">
        <v>30603</v>
      </c>
      <c r="K460" s="8">
        <f>SUM(Table1[[#This Row],[Sales (Q1)]:[Sales (Q4)]])</f>
        <v>185868</v>
      </c>
      <c r="L460" s="2" t="str">
        <f>IF(Table1[[#This Row],[Employee Total Sales]]&gt;=200000,"High Performer",IF(Table1[[#This Row],[Employee Total Sales]]&gt;=180000,"Mid Performer","Low Performer"))</f>
        <v>Mid Performer</v>
      </c>
      <c r="M460" s="2" t="str">
        <f>IF(Table1[[#This Row],[Sales Performance]]="High Performer","Eligible for Promotion",IF(Table1[[#This Row],[Sales Performance]]="Low Performer","Review Cause Effect","Room For Growth"))</f>
        <v>Room For Growth</v>
      </c>
    </row>
    <row r="461" spans="1:13" x14ac:dyDescent="0.35">
      <c r="A461">
        <v>376</v>
      </c>
      <c r="B461" t="s">
        <v>591</v>
      </c>
      <c r="C461" t="s">
        <v>27</v>
      </c>
      <c r="D461" t="s">
        <v>28</v>
      </c>
      <c r="E461" s="14" t="s">
        <v>717</v>
      </c>
      <c r="F461" t="s">
        <v>1499</v>
      </c>
      <c r="G461" s="8">
        <v>34465</v>
      </c>
      <c r="H461" s="8">
        <v>59711</v>
      </c>
      <c r="I461" s="8">
        <v>67044</v>
      </c>
      <c r="J461" s="9">
        <v>24644</v>
      </c>
      <c r="K461" s="8">
        <f>SUM(Table1[[#This Row],[Sales (Q1)]:[Sales (Q4)]])</f>
        <v>185864</v>
      </c>
      <c r="L461" s="2" t="str">
        <f>IF(Table1[[#This Row],[Employee Total Sales]]&gt;=200000,"High Performer",IF(Table1[[#This Row],[Employee Total Sales]]&gt;=180000,"Mid Performer","Low Performer"))</f>
        <v>Mid Performer</v>
      </c>
      <c r="M461" s="2" t="str">
        <f>IF(Table1[[#This Row],[Sales Performance]]="High Performer","Eligible for Promotion",IF(Table1[[#This Row],[Sales Performance]]="Low Performer","Review Cause Effect","Room For Growth"))</f>
        <v>Room For Growth</v>
      </c>
    </row>
    <row r="462" spans="1:13" x14ac:dyDescent="0.35">
      <c r="A462">
        <v>218</v>
      </c>
      <c r="B462" t="s">
        <v>52</v>
      </c>
      <c r="C462" t="s">
        <v>16</v>
      </c>
      <c r="D462" t="s">
        <v>43</v>
      </c>
      <c r="E462" s="14" t="s">
        <v>702</v>
      </c>
      <c r="F462" t="s">
        <v>1500</v>
      </c>
      <c r="G462" s="8">
        <v>68877</v>
      </c>
      <c r="H462" s="8">
        <v>34280</v>
      </c>
      <c r="I462" s="8">
        <v>57900</v>
      </c>
      <c r="J462" s="9">
        <v>24786</v>
      </c>
      <c r="K462" s="8">
        <f>SUM(Table1[[#This Row],[Sales (Q1)]:[Sales (Q4)]])</f>
        <v>185843</v>
      </c>
      <c r="L462" s="2" t="str">
        <f>IF(Table1[[#This Row],[Employee Total Sales]]&gt;=200000,"High Performer",IF(Table1[[#This Row],[Employee Total Sales]]&gt;=180000,"Mid Performer","Low Performer"))</f>
        <v>Mid Performer</v>
      </c>
      <c r="M462" s="2" t="str">
        <f>IF(Table1[[#This Row],[Sales Performance]]="High Performer","Eligible for Promotion",IF(Table1[[#This Row],[Sales Performance]]="Low Performer","Review Cause Effect","Room For Growth"))</f>
        <v>Room For Growth</v>
      </c>
    </row>
    <row r="463" spans="1:13" x14ac:dyDescent="0.35">
      <c r="A463">
        <v>162</v>
      </c>
      <c r="B463" t="s">
        <v>196</v>
      </c>
      <c r="C463" t="s">
        <v>16</v>
      </c>
      <c r="D463" t="s">
        <v>43</v>
      </c>
      <c r="E463" s="14" t="s">
        <v>197</v>
      </c>
      <c r="F463" t="s">
        <v>1501</v>
      </c>
      <c r="G463" s="8">
        <v>26007</v>
      </c>
      <c r="H463" s="8">
        <v>63435</v>
      </c>
      <c r="I463" s="8">
        <v>33900</v>
      </c>
      <c r="J463" s="9">
        <v>62054</v>
      </c>
      <c r="K463" s="8">
        <f>SUM(Table1[[#This Row],[Sales (Q1)]:[Sales (Q4)]])</f>
        <v>185396</v>
      </c>
      <c r="L463" s="2" t="str">
        <f>IF(Table1[[#This Row],[Employee Total Sales]]&gt;=200000,"High Performer",IF(Table1[[#This Row],[Employee Total Sales]]&gt;=180000,"Mid Performer","Low Performer"))</f>
        <v>Mid Performer</v>
      </c>
      <c r="M463" s="2" t="str">
        <f>IF(Table1[[#This Row],[Sales Performance]]="High Performer","Eligible for Promotion",IF(Table1[[#This Row],[Sales Performance]]="Low Performer","Review Cause Effect","Room For Growth"))</f>
        <v>Room For Growth</v>
      </c>
    </row>
    <row r="464" spans="1:13" x14ac:dyDescent="0.35">
      <c r="A464">
        <v>380</v>
      </c>
      <c r="B464" t="s">
        <v>92</v>
      </c>
      <c r="C464" t="s">
        <v>16</v>
      </c>
      <c r="D464" t="s">
        <v>12</v>
      </c>
      <c r="E464" s="14" t="s">
        <v>724</v>
      </c>
      <c r="F464" t="s">
        <v>1502</v>
      </c>
      <c r="G464" s="8">
        <v>34541</v>
      </c>
      <c r="H464" s="8">
        <v>34078</v>
      </c>
      <c r="I464" s="8">
        <v>76080</v>
      </c>
      <c r="J464" s="9">
        <v>40637</v>
      </c>
      <c r="K464" s="8">
        <f>SUM(Table1[[#This Row],[Sales (Q1)]:[Sales (Q4)]])</f>
        <v>185336</v>
      </c>
      <c r="L464" s="2" t="str">
        <f>IF(Table1[[#This Row],[Employee Total Sales]]&gt;=200000,"High Performer",IF(Table1[[#This Row],[Employee Total Sales]]&gt;=180000,"Mid Performer","Low Performer"))</f>
        <v>Mid Performer</v>
      </c>
      <c r="M464" s="2" t="str">
        <f>IF(Table1[[#This Row],[Sales Performance]]="High Performer","Eligible for Promotion",IF(Table1[[#This Row],[Sales Performance]]="Low Performer","Review Cause Effect","Room For Growth"))</f>
        <v>Room For Growth</v>
      </c>
    </row>
    <row r="465" spans="1:13" x14ac:dyDescent="0.35">
      <c r="A465">
        <v>205</v>
      </c>
      <c r="B465" t="s">
        <v>314</v>
      </c>
      <c r="C465" t="s">
        <v>32</v>
      </c>
      <c r="D465" t="s">
        <v>43</v>
      </c>
      <c r="E465" s="14" t="s">
        <v>315</v>
      </c>
      <c r="F465" t="s">
        <v>1503</v>
      </c>
      <c r="G465" s="8">
        <v>39647</v>
      </c>
      <c r="H465" s="8">
        <v>51122</v>
      </c>
      <c r="I465" s="8">
        <v>73460</v>
      </c>
      <c r="J465" s="9">
        <v>21090</v>
      </c>
      <c r="K465" s="8">
        <f>SUM(Table1[[#This Row],[Sales (Q1)]:[Sales (Q4)]])</f>
        <v>185319</v>
      </c>
      <c r="L465" s="2" t="str">
        <f>IF(Table1[[#This Row],[Employee Total Sales]]&gt;=200000,"High Performer",IF(Table1[[#This Row],[Employee Total Sales]]&gt;=180000,"Mid Performer","Low Performer"))</f>
        <v>Mid Performer</v>
      </c>
      <c r="M465" s="2" t="str">
        <f>IF(Table1[[#This Row],[Sales Performance]]="High Performer","Eligible for Promotion",IF(Table1[[#This Row],[Sales Performance]]="Low Performer","Review Cause Effect","Room For Growth"))</f>
        <v>Room For Growth</v>
      </c>
    </row>
    <row r="466" spans="1:13" x14ac:dyDescent="0.35">
      <c r="A466">
        <v>416</v>
      </c>
      <c r="B466" t="s">
        <v>89</v>
      </c>
      <c r="C466" t="s">
        <v>16</v>
      </c>
      <c r="D466" t="s">
        <v>28</v>
      </c>
      <c r="E466" s="14" t="s">
        <v>800</v>
      </c>
      <c r="F466" t="s">
        <v>1504</v>
      </c>
      <c r="G466" s="8">
        <v>41356</v>
      </c>
      <c r="H466" s="8">
        <v>56447</v>
      </c>
      <c r="I466" s="8">
        <v>62562</v>
      </c>
      <c r="J466" s="9">
        <v>24648</v>
      </c>
      <c r="K466" s="8">
        <f>SUM(Table1[[#This Row],[Sales (Q1)]:[Sales (Q4)]])</f>
        <v>185013</v>
      </c>
      <c r="L466" s="2" t="str">
        <f>IF(Table1[[#This Row],[Employee Total Sales]]&gt;=200000,"High Performer",IF(Table1[[#This Row],[Employee Total Sales]]&gt;=180000,"Mid Performer","Low Performer"))</f>
        <v>Mid Performer</v>
      </c>
      <c r="M466" s="2" t="str">
        <f>IF(Table1[[#This Row],[Sales Performance]]="High Performer","Eligible for Promotion",IF(Table1[[#This Row],[Sales Performance]]="Low Performer","Review Cause Effect","Room For Growth"))</f>
        <v>Room For Growth</v>
      </c>
    </row>
    <row r="467" spans="1:13" x14ac:dyDescent="0.35">
      <c r="A467">
        <v>480</v>
      </c>
      <c r="B467" t="s">
        <v>376</v>
      </c>
      <c r="C467" t="s">
        <v>32</v>
      </c>
      <c r="D467" t="s">
        <v>43</v>
      </c>
      <c r="E467" s="14" t="s">
        <v>1715</v>
      </c>
      <c r="F467" t="s">
        <v>1505</v>
      </c>
      <c r="G467" s="8">
        <v>58696</v>
      </c>
      <c r="H467" s="8">
        <v>22956</v>
      </c>
      <c r="I467" s="8">
        <v>28401</v>
      </c>
      <c r="J467" s="9">
        <v>74849</v>
      </c>
      <c r="K467" s="8">
        <f>SUM(Table1[[#This Row],[Sales (Q1)]:[Sales (Q4)]])</f>
        <v>184902</v>
      </c>
      <c r="L467" s="2" t="str">
        <f>IF(Table1[[#This Row],[Employee Total Sales]]&gt;=200000,"High Performer",IF(Table1[[#This Row],[Employee Total Sales]]&gt;=180000,"Mid Performer","Low Performer"))</f>
        <v>Mid Performer</v>
      </c>
      <c r="M467" s="2" t="str">
        <f>IF(Table1[[#This Row],[Sales Performance]]="High Performer","Eligible for Promotion",IF(Table1[[#This Row],[Sales Performance]]="Low Performer","Review Cause Effect","Room For Growth"))</f>
        <v>Room For Growth</v>
      </c>
    </row>
    <row r="468" spans="1:13" x14ac:dyDescent="0.35">
      <c r="A468">
        <v>502</v>
      </c>
      <c r="B468" t="s">
        <v>557</v>
      </c>
      <c r="C468" t="s">
        <v>39</v>
      </c>
      <c r="D468" t="s">
        <v>12</v>
      </c>
      <c r="E468" s="14" t="s">
        <v>570</v>
      </c>
      <c r="F468" t="s">
        <v>1506</v>
      </c>
      <c r="G468" s="8">
        <v>50818</v>
      </c>
      <c r="H468" s="8">
        <v>37054</v>
      </c>
      <c r="I468" s="8">
        <v>30718</v>
      </c>
      <c r="J468" s="9">
        <v>66265</v>
      </c>
      <c r="K468" s="8">
        <f>SUM(Table1[[#This Row],[Sales (Q1)]:[Sales (Q4)]])</f>
        <v>184855</v>
      </c>
      <c r="L468" s="2" t="str">
        <f>IF(Table1[[#This Row],[Employee Total Sales]]&gt;=200000,"High Performer",IF(Table1[[#This Row],[Employee Total Sales]]&gt;=180000,"Mid Performer","Low Performer"))</f>
        <v>Mid Performer</v>
      </c>
      <c r="M468" s="2" t="str">
        <f>IF(Table1[[#This Row],[Sales Performance]]="High Performer","Eligible for Promotion",IF(Table1[[#This Row],[Sales Performance]]="Low Performer","Review Cause Effect","Room For Growth"))</f>
        <v>Room For Growth</v>
      </c>
    </row>
    <row r="469" spans="1:13" x14ac:dyDescent="0.35">
      <c r="A469">
        <v>114</v>
      </c>
      <c r="B469" t="s">
        <v>57</v>
      </c>
      <c r="C469" t="s">
        <v>11</v>
      </c>
      <c r="D469" t="s">
        <v>20</v>
      </c>
      <c r="E469" s="14" t="s">
        <v>58</v>
      </c>
      <c r="F469" t="s">
        <v>1507</v>
      </c>
      <c r="G469" s="8">
        <v>75883</v>
      </c>
      <c r="H469" s="8">
        <v>54807</v>
      </c>
      <c r="I469" s="8">
        <v>30317</v>
      </c>
      <c r="J469" s="9">
        <v>23727</v>
      </c>
      <c r="K469" s="8">
        <f>SUM(Table1[[#This Row],[Sales (Q1)]:[Sales (Q4)]])</f>
        <v>184734</v>
      </c>
      <c r="L469" s="2" t="str">
        <f>IF(Table1[[#This Row],[Employee Total Sales]]&gt;=200000,"High Performer",IF(Table1[[#This Row],[Employee Total Sales]]&gt;=180000,"Mid Performer","Low Performer"))</f>
        <v>Mid Performer</v>
      </c>
      <c r="M469" s="2" t="str">
        <f>IF(Table1[[#This Row],[Sales Performance]]="High Performer","Eligible for Promotion",IF(Table1[[#This Row],[Sales Performance]]="Low Performer","Review Cause Effect","Room For Growth"))</f>
        <v>Room For Growth</v>
      </c>
    </row>
    <row r="470" spans="1:13" x14ac:dyDescent="0.35">
      <c r="A470">
        <v>208</v>
      </c>
      <c r="B470" t="s">
        <v>321</v>
      </c>
      <c r="C470" t="s">
        <v>32</v>
      </c>
      <c r="D470" t="s">
        <v>20</v>
      </c>
      <c r="E470" s="14" t="s">
        <v>322</v>
      </c>
      <c r="F470" t="s">
        <v>1508</v>
      </c>
      <c r="G470" s="8">
        <v>39562</v>
      </c>
      <c r="H470" s="8">
        <v>34736</v>
      </c>
      <c r="I470" s="8">
        <v>39504</v>
      </c>
      <c r="J470" s="9">
        <v>70539</v>
      </c>
      <c r="K470" s="8">
        <f>SUM(Table1[[#This Row],[Sales (Q1)]:[Sales (Q4)]])</f>
        <v>184341</v>
      </c>
      <c r="L470" s="2" t="str">
        <f>IF(Table1[[#This Row],[Employee Total Sales]]&gt;=200000,"High Performer",IF(Table1[[#This Row],[Employee Total Sales]]&gt;=180000,"Mid Performer","Low Performer"))</f>
        <v>Mid Performer</v>
      </c>
      <c r="M470" s="2" t="str">
        <f>IF(Table1[[#This Row],[Sales Performance]]="High Performer","Eligible for Promotion",IF(Table1[[#This Row],[Sales Performance]]="Low Performer","Review Cause Effect","Room For Growth"))</f>
        <v>Room For Growth</v>
      </c>
    </row>
    <row r="471" spans="1:13" x14ac:dyDescent="0.35">
      <c r="A471">
        <v>133</v>
      </c>
      <c r="B471" t="s">
        <v>114</v>
      </c>
      <c r="C471" t="s">
        <v>39</v>
      </c>
      <c r="D471" t="s">
        <v>20</v>
      </c>
      <c r="E471" s="14" t="s">
        <v>1284</v>
      </c>
      <c r="F471" t="s">
        <v>1509</v>
      </c>
      <c r="G471" s="8">
        <v>21682</v>
      </c>
      <c r="H471" s="8">
        <v>40444</v>
      </c>
      <c r="I471" s="8">
        <v>57735</v>
      </c>
      <c r="J471" s="9">
        <v>64390</v>
      </c>
      <c r="K471" s="8">
        <f>SUM(Table1[[#This Row],[Sales (Q1)]:[Sales (Q4)]])</f>
        <v>184251</v>
      </c>
      <c r="L471" s="2" t="str">
        <f>IF(Table1[[#This Row],[Employee Total Sales]]&gt;=200000,"High Performer",IF(Table1[[#This Row],[Employee Total Sales]]&gt;=180000,"Mid Performer","Low Performer"))</f>
        <v>Mid Performer</v>
      </c>
      <c r="M471" s="2" t="str">
        <f>IF(Table1[[#This Row],[Sales Performance]]="High Performer","Eligible for Promotion",IF(Table1[[#This Row],[Sales Performance]]="Low Performer","Review Cause Effect","Room For Growth"))</f>
        <v>Room For Growth</v>
      </c>
    </row>
    <row r="472" spans="1:13" x14ac:dyDescent="0.35">
      <c r="A472">
        <v>440</v>
      </c>
      <c r="B472" t="s">
        <v>209</v>
      </c>
      <c r="C472" t="s">
        <v>111</v>
      </c>
      <c r="D472" t="s">
        <v>20</v>
      </c>
      <c r="E472" s="14" t="s">
        <v>849</v>
      </c>
      <c r="F472" t="s">
        <v>1510</v>
      </c>
      <c r="G472" s="8">
        <v>37949</v>
      </c>
      <c r="H472" s="8">
        <v>29256</v>
      </c>
      <c r="I472" s="8">
        <v>69646</v>
      </c>
      <c r="J472" s="9">
        <v>47207</v>
      </c>
      <c r="K472" s="8">
        <f>SUM(Table1[[#This Row],[Sales (Q1)]:[Sales (Q4)]])</f>
        <v>184058</v>
      </c>
      <c r="L472" s="2" t="str">
        <f>IF(Table1[[#This Row],[Employee Total Sales]]&gt;=200000,"High Performer",IF(Table1[[#This Row],[Employee Total Sales]]&gt;=180000,"Mid Performer","Low Performer"))</f>
        <v>Mid Performer</v>
      </c>
      <c r="M472" s="2" t="str">
        <f>IF(Table1[[#This Row],[Sales Performance]]="High Performer","Eligible for Promotion",IF(Table1[[#This Row],[Sales Performance]]="Low Performer","Review Cause Effect","Room For Growth"))</f>
        <v>Room For Growth</v>
      </c>
    </row>
    <row r="473" spans="1:13" x14ac:dyDescent="0.35">
      <c r="A473">
        <v>170</v>
      </c>
      <c r="B473" t="s">
        <v>218</v>
      </c>
      <c r="C473" t="s">
        <v>55</v>
      </c>
      <c r="D473" t="s">
        <v>43</v>
      </c>
      <c r="E473" s="14" t="s">
        <v>219</v>
      </c>
      <c r="F473" t="s">
        <v>1511</v>
      </c>
      <c r="G473" s="8">
        <v>26013</v>
      </c>
      <c r="H473" s="8">
        <v>68897</v>
      </c>
      <c r="I473" s="8">
        <v>54765</v>
      </c>
      <c r="J473" s="9">
        <v>34098</v>
      </c>
      <c r="K473" s="8">
        <f>SUM(Table1[[#This Row],[Sales (Q1)]:[Sales (Q4)]])</f>
        <v>183773</v>
      </c>
      <c r="L473" s="2" t="str">
        <f>IF(Table1[[#This Row],[Employee Total Sales]]&gt;=200000,"High Performer",IF(Table1[[#This Row],[Employee Total Sales]]&gt;=180000,"Mid Performer","Low Performer"))</f>
        <v>Mid Performer</v>
      </c>
      <c r="M473" s="2" t="str">
        <f>IF(Table1[[#This Row],[Sales Performance]]="High Performer","Eligible for Promotion",IF(Table1[[#This Row],[Sales Performance]]="Low Performer","Review Cause Effect","Room For Growth"))</f>
        <v>Room For Growth</v>
      </c>
    </row>
    <row r="474" spans="1:13" x14ac:dyDescent="0.35">
      <c r="A474">
        <v>365</v>
      </c>
      <c r="B474" t="s">
        <v>693</v>
      </c>
      <c r="C474" t="s">
        <v>111</v>
      </c>
      <c r="D474" t="s">
        <v>12</v>
      </c>
      <c r="E474" s="14" t="s">
        <v>1512</v>
      </c>
      <c r="F474" t="s">
        <v>1513</v>
      </c>
      <c r="G474" s="8">
        <v>35152</v>
      </c>
      <c r="H474" s="8">
        <v>72216</v>
      </c>
      <c r="I474" s="8">
        <v>20473</v>
      </c>
      <c r="J474" s="9">
        <v>55927</v>
      </c>
      <c r="K474" s="8">
        <f>SUM(Table1[[#This Row],[Sales (Q1)]:[Sales (Q4)]])</f>
        <v>183768</v>
      </c>
      <c r="L474" s="2" t="str">
        <f>IF(Table1[[#This Row],[Employee Total Sales]]&gt;=200000,"High Performer",IF(Table1[[#This Row],[Employee Total Sales]]&gt;=180000,"Mid Performer","Low Performer"))</f>
        <v>Mid Performer</v>
      </c>
      <c r="M474" s="2" t="str">
        <f>IF(Table1[[#This Row],[Sales Performance]]="High Performer","Eligible for Promotion",IF(Table1[[#This Row],[Sales Performance]]="Low Performer","Review Cause Effect","Room For Growth"))</f>
        <v>Room For Growth</v>
      </c>
    </row>
    <row r="475" spans="1:13" x14ac:dyDescent="0.35">
      <c r="A475">
        <v>333</v>
      </c>
      <c r="B475" t="s">
        <v>620</v>
      </c>
      <c r="C475" t="s">
        <v>55</v>
      </c>
      <c r="D475" t="s">
        <v>43</v>
      </c>
      <c r="E475" s="14" t="s">
        <v>1514</v>
      </c>
      <c r="F475" t="s">
        <v>622</v>
      </c>
      <c r="G475" s="8">
        <v>40826</v>
      </c>
      <c r="H475" s="8">
        <v>51841</v>
      </c>
      <c r="I475" s="8">
        <v>49533</v>
      </c>
      <c r="J475" s="9">
        <v>41518</v>
      </c>
      <c r="K475" s="8">
        <f>SUM(Table1[[#This Row],[Sales (Q1)]:[Sales (Q4)]])</f>
        <v>183718</v>
      </c>
      <c r="L475" s="2" t="str">
        <f>IF(Table1[[#This Row],[Employee Total Sales]]&gt;=200000,"High Performer",IF(Table1[[#This Row],[Employee Total Sales]]&gt;=180000,"Mid Performer","Low Performer"))</f>
        <v>Mid Performer</v>
      </c>
      <c r="M475" s="2" t="str">
        <f>IF(Table1[[#This Row],[Sales Performance]]="High Performer","Eligible for Promotion",IF(Table1[[#This Row],[Sales Performance]]="Low Performer","Review Cause Effect","Room For Growth"))</f>
        <v>Room For Growth</v>
      </c>
    </row>
    <row r="476" spans="1:13" x14ac:dyDescent="0.35">
      <c r="A476">
        <v>280</v>
      </c>
      <c r="B476" t="s">
        <v>358</v>
      </c>
      <c r="C476" t="s">
        <v>32</v>
      </c>
      <c r="D476" t="s">
        <v>43</v>
      </c>
      <c r="E476" s="14" t="s">
        <v>500</v>
      </c>
      <c r="F476" t="s">
        <v>1515</v>
      </c>
      <c r="G476" s="8">
        <v>29680</v>
      </c>
      <c r="H476" s="8">
        <v>58444</v>
      </c>
      <c r="I476" s="8">
        <v>66182</v>
      </c>
      <c r="J476" s="9">
        <v>29283</v>
      </c>
      <c r="K476" s="8">
        <f>SUM(Table1[[#This Row],[Sales (Q1)]:[Sales (Q4)]])</f>
        <v>183589</v>
      </c>
      <c r="L476" s="2" t="str">
        <f>IF(Table1[[#This Row],[Employee Total Sales]]&gt;=200000,"High Performer",IF(Table1[[#This Row],[Employee Total Sales]]&gt;=180000,"Mid Performer","Low Performer"))</f>
        <v>Mid Performer</v>
      </c>
      <c r="M476" s="2" t="str">
        <f>IF(Table1[[#This Row],[Sales Performance]]="High Performer","Eligible for Promotion",IF(Table1[[#This Row],[Sales Performance]]="Low Performer","Review Cause Effect","Room For Growth"))</f>
        <v>Room For Growth</v>
      </c>
    </row>
    <row r="477" spans="1:13" x14ac:dyDescent="0.35">
      <c r="A477">
        <v>238</v>
      </c>
      <c r="B477" t="s">
        <v>339</v>
      </c>
      <c r="C477" t="s">
        <v>39</v>
      </c>
      <c r="D477" t="s">
        <v>43</v>
      </c>
      <c r="E477" s="14" t="s">
        <v>395</v>
      </c>
      <c r="F477" t="s">
        <v>1516</v>
      </c>
      <c r="G477" s="8">
        <v>43666</v>
      </c>
      <c r="H477" s="8">
        <v>36495</v>
      </c>
      <c r="I477" s="8">
        <v>36160</v>
      </c>
      <c r="J477" s="9">
        <v>67244</v>
      </c>
      <c r="K477" s="8">
        <f>SUM(Table1[[#This Row],[Sales (Q1)]:[Sales (Q4)]])</f>
        <v>183565</v>
      </c>
      <c r="L477" s="2" t="str">
        <f>IF(Table1[[#This Row],[Employee Total Sales]]&gt;=200000,"High Performer",IF(Table1[[#This Row],[Employee Total Sales]]&gt;=180000,"Mid Performer","Low Performer"))</f>
        <v>Mid Performer</v>
      </c>
      <c r="M477" s="2" t="str">
        <f>IF(Table1[[#This Row],[Sales Performance]]="High Performer","Eligible for Promotion",IF(Table1[[#This Row],[Sales Performance]]="Low Performer","Review Cause Effect","Room For Growth"))</f>
        <v>Room For Growth</v>
      </c>
    </row>
    <row r="478" spans="1:13" x14ac:dyDescent="0.35">
      <c r="A478">
        <v>526</v>
      </c>
      <c r="B478" t="s">
        <v>1023</v>
      </c>
      <c r="C478" t="s">
        <v>55</v>
      </c>
      <c r="D478" t="s">
        <v>12</v>
      </c>
      <c r="E478" s="14" t="s">
        <v>1024</v>
      </c>
      <c r="F478" t="s">
        <v>1517</v>
      </c>
      <c r="G478" s="8">
        <v>23128</v>
      </c>
      <c r="H478" s="8">
        <v>69581</v>
      </c>
      <c r="I478" s="8">
        <v>62661</v>
      </c>
      <c r="J478" s="9">
        <v>28175</v>
      </c>
      <c r="K478" s="8">
        <f>SUM(Table1[[#This Row],[Sales (Q1)]:[Sales (Q4)]])</f>
        <v>183545</v>
      </c>
      <c r="L478" s="2" t="str">
        <f>IF(Table1[[#This Row],[Employee Total Sales]]&gt;=200000,"High Performer",IF(Table1[[#This Row],[Employee Total Sales]]&gt;=180000,"Mid Performer","Low Performer"))</f>
        <v>Mid Performer</v>
      </c>
      <c r="M478" s="2" t="str">
        <f>IF(Table1[[#This Row],[Sales Performance]]="High Performer","Eligible for Promotion",IF(Table1[[#This Row],[Sales Performance]]="Low Performer","Review Cause Effect","Room For Growth"))</f>
        <v>Room For Growth</v>
      </c>
    </row>
    <row r="479" spans="1:13" x14ac:dyDescent="0.35">
      <c r="A479">
        <v>228</v>
      </c>
      <c r="B479" t="s">
        <v>370</v>
      </c>
      <c r="C479" t="s">
        <v>39</v>
      </c>
      <c r="D479" t="s">
        <v>12</v>
      </c>
      <c r="E479" s="14" t="s">
        <v>371</v>
      </c>
      <c r="F479" t="s">
        <v>1518</v>
      </c>
      <c r="G479" s="8">
        <v>31092</v>
      </c>
      <c r="H479" s="8">
        <v>29172</v>
      </c>
      <c r="I479" s="8">
        <v>67206</v>
      </c>
      <c r="J479" s="9">
        <v>55818</v>
      </c>
      <c r="K479" s="8">
        <f>SUM(Table1[[#This Row],[Sales (Q1)]:[Sales (Q4)]])</f>
        <v>183288</v>
      </c>
      <c r="L479" s="2" t="str">
        <f>IF(Table1[[#This Row],[Employee Total Sales]]&gt;=200000,"High Performer",IF(Table1[[#This Row],[Employee Total Sales]]&gt;=180000,"Mid Performer","Low Performer"))</f>
        <v>Mid Performer</v>
      </c>
      <c r="M479" s="2" t="str">
        <f>IF(Table1[[#This Row],[Sales Performance]]="High Performer","Eligible for Promotion",IF(Table1[[#This Row],[Sales Performance]]="Low Performer","Review Cause Effect","Room For Growth"))</f>
        <v>Room For Growth</v>
      </c>
    </row>
    <row r="480" spans="1:13" x14ac:dyDescent="0.35">
      <c r="A480">
        <v>598</v>
      </c>
      <c r="B480" t="s">
        <v>143</v>
      </c>
      <c r="C480" t="s">
        <v>32</v>
      </c>
      <c r="D480" t="s">
        <v>43</v>
      </c>
      <c r="E480" s="14" t="s">
        <v>1251</v>
      </c>
      <c r="F480" t="s">
        <v>1519</v>
      </c>
      <c r="G480" s="8">
        <v>40704</v>
      </c>
      <c r="H480" s="8">
        <v>29483</v>
      </c>
      <c r="I480" s="8">
        <v>73487</v>
      </c>
      <c r="J480" s="9">
        <v>39452</v>
      </c>
      <c r="K480" s="8">
        <f>SUM(Table1[[#This Row],[Sales (Q1)]:[Sales (Q4)]])</f>
        <v>183126</v>
      </c>
      <c r="L480" s="2" t="str">
        <f>IF(Table1[[#This Row],[Employee Total Sales]]&gt;=200000,"High Performer",IF(Table1[[#This Row],[Employee Total Sales]]&gt;=180000,"Mid Performer","Low Performer"))</f>
        <v>Mid Performer</v>
      </c>
      <c r="M480" s="2" t="str">
        <f>IF(Table1[[#This Row],[Sales Performance]]="High Performer","Eligible for Promotion",IF(Table1[[#This Row],[Sales Performance]]="Low Performer","Review Cause Effect","Room For Growth"))</f>
        <v>Room For Growth</v>
      </c>
    </row>
    <row r="481" spans="1:13" x14ac:dyDescent="0.35">
      <c r="A481">
        <v>157</v>
      </c>
      <c r="B481" t="s">
        <v>181</v>
      </c>
      <c r="C481" t="s">
        <v>27</v>
      </c>
      <c r="D481" t="s">
        <v>43</v>
      </c>
      <c r="E481" s="14" t="s">
        <v>1746</v>
      </c>
      <c r="F481" t="s">
        <v>1520</v>
      </c>
      <c r="G481" s="8">
        <v>40246</v>
      </c>
      <c r="H481" s="8">
        <v>71682</v>
      </c>
      <c r="I481" s="8">
        <v>48889</v>
      </c>
      <c r="J481" s="9">
        <v>22186</v>
      </c>
      <c r="K481" s="8">
        <f>SUM(Table1[[#This Row],[Sales (Q1)]:[Sales (Q4)]])</f>
        <v>183003</v>
      </c>
      <c r="L481" s="2" t="str">
        <f>IF(Table1[[#This Row],[Employee Total Sales]]&gt;=200000,"High Performer",IF(Table1[[#This Row],[Employee Total Sales]]&gt;=180000,"Mid Performer","Low Performer"))</f>
        <v>Mid Performer</v>
      </c>
      <c r="M481" s="2" t="str">
        <f>IF(Table1[[#This Row],[Sales Performance]]="High Performer","Eligible for Promotion",IF(Table1[[#This Row],[Sales Performance]]="Low Performer","Review Cause Effect","Room For Growth"))</f>
        <v>Room For Growth</v>
      </c>
    </row>
    <row r="482" spans="1:13" x14ac:dyDescent="0.35">
      <c r="A482">
        <v>207</v>
      </c>
      <c r="B482" t="s">
        <v>114</v>
      </c>
      <c r="C482" t="s">
        <v>55</v>
      </c>
      <c r="D482" t="s">
        <v>28</v>
      </c>
      <c r="E482" s="14" t="s">
        <v>319</v>
      </c>
      <c r="F482" t="s">
        <v>1521</v>
      </c>
      <c r="G482" s="8">
        <v>66253</v>
      </c>
      <c r="H482" s="8">
        <v>29049</v>
      </c>
      <c r="I482" s="8">
        <v>53992</v>
      </c>
      <c r="J482" s="9">
        <v>33588</v>
      </c>
      <c r="K482" s="8">
        <f>SUM(Table1[[#This Row],[Sales (Q1)]:[Sales (Q4)]])</f>
        <v>182882</v>
      </c>
      <c r="L482" s="2" t="str">
        <f>IF(Table1[[#This Row],[Employee Total Sales]]&gt;=200000,"High Performer",IF(Table1[[#This Row],[Employee Total Sales]]&gt;=180000,"Mid Performer","Low Performer"))</f>
        <v>Mid Performer</v>
      </c>
      <c r="M482" s="2" t="str">
        <f>IF(Table1[[#This Row],[Sales Performance]]="High Performer","Eligible for Promotion",IF(Table1[[#This Row],[Sales Performance]]="Low Performer","Review Cause Effect","Room For Growth"))</f>
        <v>Room For Growth</v>
      </c>
    </row>
    <row r="483" spans="1:13" x14ac:dyDescent="0.35">
      <c r="A483">
        <v>492</v>
      </c>
      <c r="B483" t="s">
        <v>134</v>
      </c>
      <c r="C483" t="s">
        <v>11</v>
      </c>
      <c r="D483" t="s">
        <v>43</v>
      </c>
      <c r="E483" s="14" t="s">
        <v>958</v>
      </c>
      <c r="F483" t="s">
        <v>1522</v>
      </c>
      <c r="G483" s="8">
        <v>20515</v>
      </c>
      <c r="H483" s="8">
        <v>79623</v>
      </c>
      <c r="I483" s="8">
        <v>45754</v>
      </c>
      <c r="J483" s="9">
        <v>36746</v>
      </c>
      <c r="K483" s="8">
        <f>SUM(Table1[[#This Row],[Sales (Q1)]:[Sales (Q4)]])</f>
        <v>182638</v>
      </c>
      <c r="L483" s="2" t="str">
        <f>IF(Table1[[#This Row],[Employee Total Sales]]&gt;=200000,"High Performer",IF(Table1[[#This Row],[Employee Total Sales]]&gt;=180000,"Mid Performer","Low Performer"))</f>
        <v>Mid Performer</v>
      </c>
      <c r="M483" s="2" t="str">
        <f>IF(Table1[[#This Row],[Sales Performance]]="High Performer","Eligible for Promotion",IF(Table1[[#This Row],[Sales Performance]]="Low Performer","Review Cause Effect","Room For Growth"))</f>
        <v>Room For Growth</v>
      </c>
    </row>
    <row r="484" spans="1:13" x14ac:dyDescent="0.35">
      <c r="A484">
        <v>498</v>
      </c>
      <c r="B484" t="s">
        <v>285</v>
      </c>
      <c r="C484" t="s">
        <v>16</v>
      </c>
      <c r="D484" t="s">
        <v>43</v>
      </c>
      <c r="E484" s="14" t="s">
        <v>1523</v>
      </c>
      <c r="F484" t="s">
        <v>1524</v>
      </c>
      <c r="G484" s="8">
        <v>37157</v>
      </c>
      <c r="H484" s="8">
        <v>35432</v>
      </c>
      <c r="I484" s="8">
        <v>60480</v>
      </c>
      <c r="J484" s="9">
        <v>49555</v>
      </c>
      <c r="K484" s="8">
        <f>SUM(Table1[[#This Row],[Sales (Q1)]:[Sales (Q4)]])</f>
        <v>182624</v>
      </c>
      <c r="L484" s="2" t="str">
        <f>IF(Table1[[#This Row],[Employee Total Sales]]&gt;=200000,"High Performer",IF(Table1[[#This Row],[Employee Total Sales]]&gt;=180000,"Mid Performer","Low Performer"))</f>
        <v>Mid Performer</v>
      </c>
      <c r="M484" s="2" t="str">
        <f>IF(Table1[[#This Row],[Sales Performance]]="High Performer","Eligible for Promotion",IF(Table1[[#This Row],[Sales Performance]]="Low Performer","Review Cause Effect","Room For Growth"))</f>
        <v>Room For Growth</v>
      </c>
    </row>
    <row r="485" spans="1:13" x14ac:dyDescent="0.35">
      <c r="A485">
        <v>267</v>
      </c>
      <c r="B485" t="s">
        <v>467</v>
      </c>
      <c r="C485" t="s">
        <v>16</v>
      </c>
      <c r="D485" t="s">
        <v>43</v>
      </c>
      <c r="E485" s="14" t="s">
        <v>468</v>
      </c>
      <c r="F485" t="s">
        <v>1525</v>
      </c>
      <c r="G485" s="8">
        <v>57456</v>
      </c>
      <c r="H485" s="8">
        <v>44432</v>
      </c>
      <c r="I485" s="8">
        <v>27825</v>
      </c>
      <c r="J485" s="9">
        <v>52901</v>
      </c>
      <c r="K485" s="8">
        <f>SUM(Table1[[#This Row],[Sales (Q1)]:[Sales (Q4)]])</f>
        <v>182614</v>
      </c>
      <c r="L485" s="2" t="str">
        <f>IF(Table1[[#This Row],[Employee Total Sales]]&gt;=200000,"High Performer",IF(Table1[[#This Row],[Employee Total Sales]]&gt;=180000,"Mid Performer","Low Performer"))</f>
        <v>Mid Performer</v>
      </c>
      <c r="M485" s="2" t="str">
        <f>IF(Table1[[#This Row],[Sales Performance]]="High Performer","Eligible for Promotion",IF(Table1[[#This Row],[Sales Performance]]="Low Performer","Review Cause Effect","Room For Growth"))</f>
        <v>Room For Growth</v>
      </c>
    </row>
    <row r="486" spans="1:13" x14ac:dyDescent="0.35">
      <c r="A486">
        <v>331</v>
      </c>
      <c r="B486" t="s">
        <v>470</v>
      </c>
      <c r="C486" t="s">
        <v>39</v>
      </c>
      <c r="D486" t="s">
        <v>20</v>
      </c>
      <c r="E486" s="14" t="s">
        <v>1747</v>
      </c>
      <c r="F486" t="s">
        <v>1526</v>
      </c>
      <c r="G486" s="8">
        <v>45826</v>
      </c>
      <c r="H486" s="8">
        <v>55202</v>
      </c>
      <c r="I486" s="8">
        <v>55882</v>
      </c>
      <c r="J486" s="9">
        <v>25578</v>
      </c>
      <c r="K486" s="8">
        <f>SUM(Table1[[#This Row],[Sales (Q1)]:[Sales (Q4)]])</f>
        <v>182488</v>
      </c>
      <c r="L486" s="2" t="str">
        <f>IF(Table1[[#This Row],[Employee Total Sales]]&gt;=200000,"High Performer",IF(Table1[[#This Row],[Employee Total Sales]]&gt;=180000,"Mid Performer","Low Performer"))</f>
        <v>Mid Performer</v>
      </c>
      <c r="M486" s="2" t="str">
        <f>IF(Table1[[#This Row],[Sales Performance]]="High Performer","Eligible for Promotion",IF(Table1[[#This Row],[Sales Performance]]="Low Performer","Review Cause Effect","Room For Growth"))</f>
        <v>Room For Growth</v>
      </c>
    </row>
    <row r="487" spans="1:13" x14ac:dyDescent="0.35">
      <c r="A487">
        <v>467</v>
      </c>
      <c r="B487" t="s">
        <v>543</v>
      </c>
      <c r="C487" t="s">
        <v>32</v>
      </c>
      <c r="D487" t="s">
        <v>28</v>
      </c>
      <c r="E487" s="14" t="s">
        <v>1034</v>
      </c>
      <c r="F487" t="s">
        <v>1527</v>
      </c>
      <c r="G487" s="8">
        <v>26280</v>
      </c>
      <c r="H487" s="8">
        <v>55023</v>
      </c>
      <c r="I487" s="8">
        <v>58013</v>
      </c>
      <c r="J487" s="9">
        <v>43044</v>
      </c>
      <c r="K487" s="8">
        <f>SUM(Table1[[#This Row],[Sales (Q1)]:[Sales (Q4)]])</f>
        <v>182360</v>
      </c>
      <c r="L487" s="2" t="str">
        <f>IF(Table1[[#This Row],[Employee Total Sales]]&gt;=200000,"High Performer",IF(Table1[[#This Row],[Employee Total Sales]]&gt;=180000,"Mid Performer","Low Performer"))</f>
        <v>Mid Performer</v>
      </c>
      <c r="M487" s="2" t="str">
        <f>IF(Table1[[#This Row],[Sales Performance]]="High Performer","Eligible for Promotion",IF(Table1[[#This Row],[Sales Performance]]="Low Performer","Review Cause Effect","Room For Growth"))</f>
        <v>Room For Growth</v>
      </c>
    </row>
    <row r="488" spans="1:13" x14ac:dyDescent="0.35">
      <c r="A488">
        <v>137</v>
      </c>
      <c r="B488" t="s">
        <v>35</v>
      </c>
      <c r="C488" t="s">
        <v>32</v>
      </c>
      <c r="D488" t="s">
        <v>43</v>
      </c>
      <c r="E488" s="14" t="s">
        <v>126</v>
      </c>
      <c r="F488" t="s">
        <v>1528</v>
      </c>
      <c r="G488" s="8">
        <v>34522</v>
      </c>
      <c r="H488" s="8">
        <v>46502</v>
      </c>
      <c r="I488" s="8">
        <v>65336</v>
      </c>
      <c r="J488" s="9">
        <v>35945</v>
      </c>
      <c r="K488" s="8">
        <f>SUM(Table1[[#This Row],[Sales (Q1)]:[Sales (Q4)]])</f>
        <v>182305</v>
      </c>
      <c r="L488" s="2" t="str">
        <f>IF(Table1[[#This Row],[Employee Total Sales]]&gt;=200000,"High Performer",IF(Table1[[#This Row],[Employee Total Sales]]&gt;=180000,"Mid Performer","Low Performer"))</f>
        <v>Mid Performer</v>
      </c>
      <c r="M488" s="2" t="str">
        <f>IF(Table1[[#This Row],[Sales Performance]]="High Performer","Eligible for Promotion",IF(Table1[[#This Row],[Sales Performance]]="Low Performer","Review Cause Effect","Room For Growth"))</f>
        <v>Room For Growth</v>
      </c>
    </row>
    <row r="489" spans="1:13" x14ac:dyDescent="0.35">
      <c r="A489">
        <v>264</v>
      </c>
      <c r="B489" t="s">
        <v>446</v>
      </c>
      <c r="C489" t="s">
        <v>111</v>
      </c>
      <c r="D489" t="s">
        <v>20</v>
      </c>
      <c r="E489" s="14" t="s">
        <v>447</v>
      </c>
      <c r="F489" t="s">
        <v>1529</v>
      </c>
      <c r="G489" s="8">
        <v>20830</v>
      </c>
      <c r="H489" s="8">
        <v>66392</v>
      </c>
      <c r="I489" s="8">
        <v>28992</v>
      </c>
      <c r="J489" s="9">
        <v>65973</v>
      </c>
      <c r="K489" s="8">
        <f>SUM(Table1[[#This Row],[Sales (Q1)]:[Sales (Q4)]])</f>
        <v>182187</v>
      </c>
      <c r="L489" s="2" t="str">
        <f>IF(Table1[[#This Row],[Employee Total Sales]]&gt;=200000,"High Performer",IF(Table1[[#This Row],[Employee Total Sales]]&gt;=180000,"Mid Performer","Low Performer"))</f>
        <v>Mid Performer</v>
      </c>
      <c r="M489" s="2" t="str">
        <f>IF(Table1[[#This Row],[Sales Performance]]="High Performer","Eligible for Promotion",IF(Table1[[#This Row],[Sales Performance]]="Low Performer","Review Cause Effect","Room For Growth"))</f>
        <v>Room For Growth</v>
      </c>
    </row>
    <row r="490" spans="1:13" x14ac:dyDescent="0.35">
      <c r="A490">
        <v>582</v>
      </c>
      <c r="B490" t="s">
        <v>75</v>
      </c>
      <c r="C490" t="s">
        <v>32</v>
      </c>
      <c r="D490" t="s">
        <v>28</v>
      </c>
      <c r="E490" s="14" t="s">
        <v>1530</v>
      </c>
      <c r="F490" t="s">
        <v>1531</v>
      </c>
      <c r="G490" s="8">
        <v>49377</v>
      </c>
      <c r="H490" s="8">
        <v>61654</v>
      </c>
      <c r="I490" s="8">
        <v>33199</v>
      </c>
      <c r="J490" s="9">
        <v>37816</v>
      </c>
      <c r="K490" s="8">
        <f>SUM(Table1[[#This Row],[Sales (Q1)]:[Sales (Q4)]])</f>
        <v>182046</v>
      </c>
      <c r="L490" s="2" t="str">
        <f>IF(Table1[[#This Row],[Employee Total Sales]]&gt;=200000,"High Performer",IF(Table1[[#This Row],[Employee Total Sales]]&gt;=180000,"Mid Performer","Low Performer"))</f>
        <v>Mid Performer</v>
      </c>
      <c r="M490" s="2" t="str">
        <f>IF(Table1[[#This Row],[Sales Performance]]="High Performer","Eligible for Promotion",IF(Table1[[#This Row],[Sales Performance]]="Low Performer","Review Cause Effect","Room For Growth"))</f>
        <v>Room For Growth</v>
      </c>
    </row>
    <row r="491" spans="1:13" x14ac:dyDescent="0.35">
      <c r="A491">
        <v>553</v>
      </c>
      <c r="B491" t="s">
        <v>342</v>
      </c>
      <c r="C491" t="s">
        <v>16</v>
      </c>
      <c r="D491" t="s">
        <v>12</v>
      </c>
      <c r="E491" s="14" t="s">
        <v>1074</v>
      </c>
      <c r="F491" t="s">
        <v>1532</v>
      </c>
      <c r="G491" s="8">
        <v>60889</v>
      </c>
      <c r="H491" s="8">
        <v>33968</v>
      </c>
      <c r="I491" s="8">
        <v>35664</v>
      </c>
      <c r="J491" s="9">
        <v>51506</v>
      </c>
      <c r="K491" s="8">
        <f>SUM(Table1[[#This Row],[Sales (Q1)]:[Sales (Q4)]])</f>
        <v>182027</v>
      </c>
      <c r="L491" s="2" t="str">
        <f>IF(Table1[[#This Row],[Employee Total Sales]]&gt;=200000,"High Performer",IF(Table1[[#This Row],[Employee Total Sales]]&gt;=180000,"Mid Performer","Low Performer"))</f>
        <v>Mid Performer</v>
      </c>
      <c r="M491" s="2" t="str">
        <f>IF(Table1[[#This Row],[Sales Performance]]="High Performer","Eligible for Promotion",IF(Table1[[#This Row],[Sales Performance]]="Low Performer","Review Cause Effect","Room For Growth"))</f>
        <v>Room For Growth</v>
      </c>
    </row>
    <row r="492" spans="1:13" x14ac:dyDescent="0.35">
      <c r="A492">
        <v>145</v>
      </c>
      <c r="B492" t="s">
        <v>149</v>
      </c>
      <c r="C492" t="s">
        <v>11</v>
      </c>
      <c r="D492" t="s">
        <v>12</v>
      </c>
      <c r="E492" s="14" t="s">
        <v>1748</v>
      </c>
      <c r="F492" t="s">
        <v>1533</v>
      </c>
      <c r="G492" s="8">
        <v>62697</v>
      </c>
      <c r="H492" s="8">
        <v>48981</v>
      </c>
      <c r="I492" s="8">
        <v>38229</v>
      </c>
      <c r="J492" s="9">
        <v>31894</v>
      </c>
      <c r="K492" s="8">
        <f>SUM(Table1[[#This Row],[Sales (Q1)]:[Sales (Q4)]])</f>
        <v>181801</v>
      </c>
      <c r="L492" s="2" t="str">
        <f>IF(Table1[[#This Row],[Employee Total Sales]]&gt;=200000,"High Performer",IF(Table1[[#This Row],[Employee Total Sales]]&gt;=180000,"Mid Performer","Low Performer"))</f>
        <v>Mid Performer</v>
      </c>
      <c r="M492" s="2" t="str">
        <f>IF(Table1[[#This Row],[Sales Performance]]="High Performer","Eligible for Promotion",IF(Table1[[#This Row],[Sales Performance]]="Low Performer","Review Cause Effect","Room For Growth"))</f>
        <v>Room For Growth</v>
      </c>
    </row>
    <row r="493" spans="1:13" x14ac:dyDescent="0.35">
      <c r="A493">
        <v>144</v>
      </c>
      <c r="B493" t="s">
        <v>146</v>
      </c>
      <c r="C493" t="s">
        <v>27</v>
      </c>
      <c r="D493" t="s">
        <v>12</v>
      </c>
      <c r="E493" s="14" t="s">
        <v>1749</v>
      </c>
      <c r="F493" t="s">
        <v>1534</v>
      </c>
      <c r="G493" s="8">
        <v>55388</v>
      </c>
      <c r="H493" s="8">
        <v>52361</v>
      </c>
      <c r="I493" s="8">
        <v>48688</v>
      </c>
      <c r="J493" s="9">
        <v>25271</v>
      </c>
      <c r="K493" s="8">
        <f>SUM(Table1[[#This Row],[Sales (Q1)]:[Sales (Q4)]])</f>
        <v>181708</v>
      </c>
      <c r="L493" s="2" t="str">
        <f>IF(Table1[[#This Row],[Employee Total Sales]]&gt;=200000,"High Performer",IF(Table1[[#This Row],[Employee Total Sales]]&gt;=180000,"Mid Performer","Low Performer"))</f>
        <v>Mid Performer</v>
      </c>
      <c r="M493" s="2" t="str">
        <f>IF(Table1[[#This Row],[Sales Performance]]="High Performer","Eligible for Promotion",IF(Table1[[#This Row],[Sales Performance]]="Low Performer","Review Cause Effect","Room For Growth"))</f>
        <v>Room For Growth</v>
      </c>
    </row>
    <row r="494" spans="1:13" x14ac:dyDescent="0.35">
      <c r="A494">
        <v>301</v>
      </c>
      <c r="B494" t="s">
        <v>467</v>
      </c>
      <c r="C494" t="s">
        <v>32</v>
      </c>
      <c r="D494" t="s">
        <v>12</v>
      </c>
      <c r="E494" s="14" t="s">
        <v>468</v>
      </c>
      <c r="F494" t="s">
        <v>1535</v>
      </c>
      <c r="G494" s="8">
        <v>34565</v>
      </c>
      <c r="H494" s="8">
        <v>43283</v>
      </c>
      <c r="I494" s="8">
        <v>34636</v>
      </c>
      <c r="J494" s="9">
        <v>68772</v>
      </c>
      <c r="K494" s="8">
        <f>SUM(Table1[[#This Row],[Sales (Q1)]:[Sales (Q4)]])</f>
        <v>181256</v>
      </c>
      <c r="L494" s="2" t="str">
        <f>IF(Table1[[#This Row],[Employee Total Sales]]&gt;=200000,"High Performer",IF(Table1[[#This Row],[Employee Total Sales]]&gt;=180000,"Mid Performer","Low Performer"))</f>
        <v>Mid Performer</v>
      </c>
      <c r="M494" s="2" t="str">
        <f>IF(Table1[[#This Row],[Sales Performance]]="High Performer","Eligible for Promotion",IF(Table1[[#This Row],[Sales Performance]]="Low Performer","Review Cause Effect","Room For Growth"))</f>
        <v>Room For Growth</v>
      </c>
    </row>
    <row r="495" spans="1:13" x14ac:dyDescent="0.35">
      <c r="A495">
        <v>149</v>
      </c>
      <c r="B495" t="s">
        <v>23</v>
      </c>
      <c r="C495" t="s">
        <v>16</v>
      </c>
      <c r="D495" t="s">
        <v>28</v>
      </c>
      <c r="E495" s="14" t="s">
        <v>863</v>
      </c>
      <c r="F495" t="s">
        <v>161</v>
      </c>
      <c r="G495" s="8">
        <v>49935</v>
      </c>
      <c r="H495" s="8">
        <v>56127</v>
      </c>
      <c r="I495" s="8">
        <v>29479</v>
      </c>
      <c r="J495" s="9">
        <v>45138</v>
      </c>
      <c r="K495" s="8">
        <f>SUM(Table1[[#This Row],[Sales (Q1)]:[Sales (Q4)]])</f>
        <v>180679</v>
      </c>
      <c r="L495" s="2" t="str">
        <f>IF(Table1[[#This Row],[Employee Total Sales]]&gt;=200000,"High Performer",IF(Table1[[#This Row],[Employee Total Sales]]&gt;=180000,"Mid Performer","Low Performer"))</f>
        <v>Mid Performer</v>
      </c>
      <c r="M495" s="2" t="str">
        <f>IF(Table1[[#This Row],[Sales Performance]]="High Performer","Eligible for Promotion",IF(Table1[[#This Row],[Sales Performance]]="Low Performer","Review Cause Effect","Room For Growth"))</f>
        <v>Room For Growth</v>
      </c>
    </row>
    <row r="496" spans="1:13" x14ac:dyDescent="0.35">
      <c r="A496">
        <v>540</v>
      </c>
      <c r="B496" t="s">
        <v>855</v>
      </c>
      <c r="C496" t="s">
        <v>55</v>
      </c>
      <c r="D496" t="s">
        <v>20</v>
      </c>
      <c r="E496" s="14" t="s">
        <v>856</v>
      </c>
      <c r="F496" t="s">
        <v>1051</v>
      </c>
      <c r="G496" s="8">
        <v>63402</v>
      </c>
      <c r="H496" s="8">
        <v>41078</v>
      </c>
      <c r="I496" s="8">
        <v>42389</v>
      </c>
      <c r="J496" s="9">
        <v>33803</v>
      </c>
      <c r="K496" s="8">
        <f>SUM(Table1[[#This Row],[Sales (Q1)]:[Sales (Q4)]])</f>
        <v>180672</v>
      </c>
      <c r="L496" s="2" t="str">
        <f>IF(Table1[[#This Row],[Employee Total Sales]]&gt;=200000,"High Performer",IF(Table1[[#This Row],[Employee Total Sales]]&gt;=180000,"Mid Performer","Low Performer"))</f>
        <v>Mid Performer</v>
      </c>
      <c r="M496" s="2" t="str">
        <f>IF(Table1[[#This Row],[Sales Performance]]="High Performer","Eligible for Promotion",IF(Table1[[#This Row],[Sales Performance]]="Low Performer","Review Cause Effect","Room For Growth"))</f>
        <v>Room For Growth</v>
      </c>
    </row>
    <row r="497" spans="1:13" x14ac:dyDescent="0.35">
      <c r="A497">
        <v>413</v>
      </c>
      <c r="B497" t="s">
        <v>792</v>
      </c>
      <c r="C497" t="s">
        <v>111</v>
      </c>
      <c r="D497" t="s">
        <v>43</v>
      </c>
      <c r="E497" s="14" t="s">
        <v>1221</v>
      </c>
      <c r="F497" t="s">
        <v>1536</v>
      </c>
      <c r="G497" s="8">
        <v>28524</v>
      </c>
      <c r="H497" s="8">
        <v>21900</v>
      </c>
      <c r="I497" s="8">
        <v>50850</v>
      </c>
      <c r="J497" s="9">
        <v>79198</v>
      </c>
      <c r="K497" s="8">
        <f>SUM(Table1[[#This Row],[Sales (Q1)]:[Sales (Q4)]])</f>
        <v>180472</v>
      </c>
      <c r="L497" s="2" t="str">
        <f>IF(Table1[[#This Row],[Employee Total Sales]]&gt;=200000,"High Performer",IF(Table1[[#This Row],[Employee Total Sales]]&gt;=180000,"Mid Performer","Low Performer"))</f>
        <v>Mid Performer</v>
      </c>
      <c r="M497" s="2" t="str">
        <f>IF(Table1[[#This Row],[Sales Performance]]="High Performer","Eligible for Promotion",IF(Table1[[#This Row],[Sales Performance]]="Low Performer","Review Cause Effect","Room For Growth"))</f>
        <v>Room For Growth</v>
      </c>
    </row>
    <row r="498" spans="1:13" x14ac:dyDescent="0.35">
      <c r="A498">
        <v>293</v>
      </c>
      <c r="B498" t="s">
        <v>530</v>
      </c>
      <c r="C498" t="s">
        <v>111</v>
      </c>
      <c r="D498" t="s">
        <v>43</v>
      </c>
      <c r="E498" s="14" t="s">
        <v>531</v>
      </c>
      <c r="F498" t="s">
        <v>1537</v>
      </c>
      <c r="G498" s="8">
        <v>76944</v>
      </c>
      <c r="H498" s="8">
        <v>34939</v>
      </c>
      <c r="I498" s="8">
        <v>28807</v>
      </c>
      <c r="J498" s="9">
        <v>39692</v>
      </c>
      <c r="K498" s="8">
        <f>SUM(Table1[[#This Row],[Sales (Q1)]:[Sales (Q4)]])</f>
        <v>180382</v>
      </c>
      <c r="L498" s="2" t="str">
        <f>IF(Table1[[#This Row],[Employee Total Sales]]&gt;=200000,"High Performer",IF(Table1[[#This Row],[Employee Total Sales]]&gt;=180000,"Mid Performer","Low Performer"))</f>
        <v>Mid Performer</v>
      </c>
      <c r="M498" s="2" t="str">
        <f>IF(Table1[[#This Row],[Sales Performance]]="High Performer","Eligible for Promotion",IF(Table1[[#This Row],[Sales Performance]]="Low Performer","Review Cause Effect","Room For Growth"))</f>
        <v>Room For Growth</v>
      </c>
    </row>
    <row r="499" spans="1:13" x14ac:dyDescent="0.35">
      <c r="A499">
        <v>328</v>
      </c>
      <c r="B499" t="s">
        <v>608</v>
      </c>
      <c r="C499" t="s">
        <v>39</v>
      </c>
      <c r="D499" t="s">
        <v>28</v>
      </c>
      <c r="E499" s="14" t="s">
        <v>1538</v>
      </c>
      <c r="F499" t="s">
        <v>610</v>
      </c>
      <c r="G499" s="8">
        <v>21556</v>
      </c>
      <c r="H499" s="8">
        <v>50095</v>
      </c>
      <c r="I499" s="8">
        <v>66980</v>
      </c>
      <c r="J499" s="9">
        <v>41739</v>
      </c>
      <c r="K499" s="8">
        <f>SUM(Table1[[#This Row],[Sales (Q1)]:[Sales (Q4)]])</f>
        <v>180370</v>
      </c>
      <c r="L499" s="2" t="str">
        <f>IF(Table1[[#This Row],[Employee Total Sales]]&gt;=200000,"High Performer",IF(Table1[[#This Row],[Employee Total Sales]]&gt;=180000,"Mid Performer","Low Performer"))</f>
        <v>Mid Performer</v>
      </c>
      <c r="M499" s="2" t="str">
        <f>IF(Table1[[#This Row],[Sales Performance]]="High Performer","Eligible for Promotion",IF(Table1[[#This Row],[Sales Performance]]="Low Performer","Review Cause Effect","Room For Growth"))</f>
        <v>Room For Growth</v>
      </c>
    </row>
    <row r="500" spans="1:13" x14ac:dyDescent="0.35">
      <c r="A500">
        <v>294</v>
      </c>
      <c r="B500" t="s">
        <v>533</v>
      </c>
      <c r="C500" t="s">
        <v>11</v>
      </c>
      <c r="D500" t="s">
        <v>20</v>
      </c>
      <c r="E500" s="14" t="s">
        <v>1089</v>
      </c>
      <c r="F500" t="s">
        <v>1539</v>
      </c>
      <c r="G500" s="8">
        <v>53768</v>
      </c>
      <c r="H500" s="8">
        <v>71871</v>
      </c>
      <c r="I500" s="8">
        <v>30418</v>
      </c>
      <c r="J500" s="9">
        <v>24300</v>
      </c>
      <c r="K500" s="8">
        <f>SUM(Table1[[#This Row],[Sales (Q1)]:[Sales (Q4)]])</f>
        <v>180357</v>
      </c>
      <c r="L500" s="2" t="str">
        <f>IF(Table1[[#This Row],[Employee Total Sales]]&gt;=200000,"High Performer",IF(Table1[[#This Row],[Employee Total Sales]]&gt;=180000,"Mid Performer","Low Performer"))</f>
        <v>Mid Performer</v>
      </c>
      <c r="M500" s="2" t="str">
        <f>IF(Table1[[#This Row],[Sales Performance]]="High Performer","Eligible for Promotion",IF(Table1[[#This Row],[Sales Performance]]="Low Performer","Review Cause Effect","Room For Growth"))</f>
        <v>Room For Growth</v>
      </c>
    </row>
    <row r="501" spans="1:13" x14ac:dyDescent="0.35">
      <c r="A501">
        <v>324</v>
      </c>
      <c r="B501" t="s">
        <v>507</v>
      </c>
      <c r="C501" t="s">
        <v>27</v>
      </c>
      <c r="D501" t="s">
        <v>43</v>
      </c>
      <c r="E501" s="14" t="s">
        <v>1540</v>
      </c>
      <c r="F501" t="s">
        <v>1541</v>
      </c>
      <c r="G501" s="8">
        <v>48082</v>
      </c>
      <c r="H501" s="8">
        <v>38291</v>
      </c>
      <c r="I501" s="8">
        <v>56477</v>
      </c>
      <c r="J501" s="9">
        <v>37317</v>
      </c>
      <c r="K501" s="8">
        <f>SUM(Table1[[#This Row],[Sales (Q1)]:[Sales (Q4)]])</f>
        <v>180167</v>
      </c>
      <c r="L501" s="2" t="str">
        <f>IF(Table1[[#This Row],[Employee Total Sales]]&gt;=200000,"High Performer",IF(Table1[[#This Row],[Employee Total Sales]]&gt;=180000,"Mid Performer","Low Performer"))</f>
        <v>Mid Performer</v>
      </c>
      <c r="M501" s="2" t="str">
        <f>IF(Table1[[#This Row],[Sales Performance]]="High Performer","Eligible for Promotion",IF(Table1[[#This Row],[Sales Performance]]="Low Performer","Review Cause Effect","Room For Growth"))</f>
        <v>Room For Growth</v>
      </c>
    </row>
    <row r="502" spans="1:13" x14ac:dyDescent="0.35">
      <c r="J502" s="15"/>
      <c r="L502" s="2"/>
      <c r="M502" s="2"/>
    </row>
  </sheetData>
  <phoneticPr fontId="3" type="noConversion"/>
  <conditionalFormatting sqref="K1:K1048576">
    <cfRule type="top10" dxfId="16" priority="1" rank="10"/>
  </conditionalFormatting>
  <conditionalFormatting sqref="L1:L1048576">
    <cfRule type="top10" dxfId="15" priority="2" percent="1" rank="10"/>
    <cfRule type="top10" dxfId="14" priority="4" rank="10"/>
    <cfRule type="top10" dxfId="13" priority="5" stopIfTrue="1" rank="10"/>
  </conditionalFormatting>
  <conditionalFormatting sqref="L2:L501">
    <cfRule type="top10" dxfId="12" priority="3" rank="10"/>
  </conditionalFormatting>
  <conditionalFormatting sqref="M2">
    <cfRule type="top10" dxfId="11" priority="18" rank="10"/>
  </conditionalFormatting>
  <conditionalFormatting sqref="M2:M501">
    <cfRule type="containsText" dxfId="10" priority="7" operator="containsText" text="Eligible For Promotion">
      <formula>NOT(ISERROR(SEARCH("Eligible For Promotion",M2)))</formula>
    </cfRule>
    <cfRule type="containsText" dxfId="9" priority="8" operator="containsText" text="Review Cause Effect">
      <formula>NOT(ISERROR(SEARCH("Review Cause Effect",M2)))</formula>
    </cfRule>
    <cfRule type="containsText" dxfId="8" priority="9" operator="containsText" text="Room For Growth">
      <formula>NOT(ISERROR(SEARCH("Room For Growth",M2)))</formula>
    </cfRule>
    <cfRule type="cellIs" dxfId="7" priority="14" operator="equal">
      <formula>"Room for Growth"</formula>
    </cfRule>
    <cfRule type="cellIs" dxfId="6" priority="15" operator="equal">
      <formula>"Review Employment"</formula>
    </cfRule>
  </conditionalFormatting>
  <conditionalFormatting sqref="M5">
    <cfRule type="containsText" dxfId="5" priority="10" operator="containsText" text="Eligible For Promotion">
      <formula>NOT(ISERROR(SEARCH("Eligible For Promotion",M5)))</formula>
    </cfRule>
    <cfRule type="containsText" dxfId="4" priority="12" operator="containsText" text="Eligible for Promotion">
      <formula>NOT(ISERROR(SEARCH("Eligible for Promotion",M5)))</formula>
    </cfRule>
    <cfRule type="containsText" dxfId="3" priority="13" operator="containsText" text="El$M$5">
      <formula>NOT(ISERROR(SEARCH("El$M$5",M5)))</formula>
    </cfRule>
  </conditionalFormatting>
  <conditionalFormatting sqref="M8">
    <cfRule type="containsText" dxfId="2" priority="11" operator="containsText" text="Review Cause Effect">
      <formula>NOT(ISERROR(SEARCH("Review Cause Effect",M8)))</formula>
    </cfRule>
  </conditionalFormatting>
  <conditionalFormatting sqref="M264:M501">
    <cfRule type="containsText" dxfId="1" priority="16" operator="containsText" text="Review Employment">
      <formula>NOT(ISERROR(SEARCH("Review Employment",M264)))</formula>
    </cfRule>
    <cfRule type="containsText" dxfId="0" priority="17" operator="containsText" text="Eligible for promotion">
      <formula>NOT(ISERROR(SEARCH("Eligible for promotion",M264)))</formula>
    </cfRule>
  </conditionalFormatting>
  <dataValidations count="1">
    <dataValidation type="list" allowBlank="1" showInputMessage="1" showErrorMessage="1" sqref="O5" xr:uid="{A162CDE2-638B-47F2-8DAD-8B6002C8BA9B}">
      <formula1>Name</formula1>
    </dataValidation>
  </dataValidations>
  <hyperlinks>
    <hyperlink ref="E3" r:id="rId1" xr:uid="{4E708A94-74AC-406E-A291-D16F91FD0A24}"/>
    <hyperlink ref="E4" r:id="rId2" xr:uid="{1190E86D-567C-4035-A10A-25330F926AF0}"/>
    <hyperlink ref="E5" r:id="rId3" xr:uid="{E94CBA1B-E49F-41E2-8B2E-4A9F50861DBD}"/>
    <hyperlink ref="E6" r:id="rId4" xr:uid="{7877E391-AC0F-4C73-A46C-A549C6DC2D5B}"/>
    <hyperlink ref="E7" r:id="rId5" xr:uid="{C16D47BE-8753-490D-82B3-94F81AB0717E}"/>
    <hyperlink ref="E8" r:id="rId6" xr:uid="{C90FD226-A359-4F67-84F6-75CAF935FE4F}"/>
    <hyperlink ref="E9" r:id="rId7" xr:uid="{6FFCF7EB-A648-4FCB-A7F0-710FDCED49B4}"/>
    <hyperlink ref="E10" r:id="rId8" xr:uid="{1A658331-0B94-43A6-B3A9-B6CC4C8C15BB}"/>
    <hyperlink ref="E11" r:id="rId9" xr:uid="{CBA887CB-DF9F-477F-9B6E-FC18F024FA76}"/>
    <hyperlink ref="E12" r:id="rId10" xr:uid="{23A380FA-028E-419D-9950-F12BBD67131B}"/>
    <hyperlink ref="E13" r:id="rId11" xr:uid="{AC07DA5D-E695-47E6-A306-CECCA01A9B88}"/>
    <hyperlink ref="E14" r:id="rId12" xr:uid="{0BF843DD-01C2-4637-9BB4-F00D6CC7A53C}"/>
    <hyperlink ref="E15" r:id="rId13" xr:uid="{868EF047-FF5B-4FB7-853D-B85B23C356D1}"/>
    <hyperlink ref="E16" r:id="rId14" xr:uid="{31121282-00F1-433E-996E-2D2C4E2AE137}"/>
    <hyperlink ref="E17" r:id="rId15" xr:uid="{948E53ED-FEFE-440E-90AB-FEADBFDA16F1}"/>
    <hyperlink ref="E18" r:id="rId16" xr:uid="{E5364CDF-145D-4607-A502-ECA630178A73}"/>
    <hyperlink ref="E19" r:id="rId17" xr:uid="{B96905F7-635D-4E2A-A6C4-DB303DADD5E0}"/>
    <hyperlink ref="E20" r:id="rId18" xr:uid="{2F05150A-5E41-4697-B161-F4FCA512C132}"/>
    <hyperlink ref="E21" r:id="rId19" xr:uid="{8A61DF5B-9D0B-4D13-BD9C-4BA0F8D678F4}"/>
    <hyperlink ref="E23" r:id="rId20" xr:uid="{16BD15AA-A13A-4863-A980-5EBA0A30F0CE}"/>
    <hyperlink ref="E24" r:id="rId21" xr:uid="{61722121-847F-497F-8B53-9549FDEFBDED}"/>
    <hyperlink ref="E25" r:id="rId22" xr:uid="{0C5D4208-2C4D-4B27-A457-07E2CB15B242}"/>
    <hyperlink ref="E26" r:id="rId23" xr:uid="{072AC316-A49C-4F94-A1DE-0E9F23ECAB41}"/>
    <hyperlink ref="E28" r:id="rId24" xr:uid="{40E12171-9660-4073-8E14-5ED9320DA351}"/>
    <hyperlink ref="E29" r:id="rId25" xr:uid="{A5E2A8A4-C912-4F6E-B49F-9C355948A149}"/>
    <hyperlink ref="E30" r:id="rId26" xr:uid="{E48085F5-A6ED-454C-BE3F-029EEAB8A690}"/>
    <hyperlink ref="E31" r:id="rId27" xr:uid="{4C9ED5E5-4075-4DD4-BB16-A885D4977A7B}"/>
    <hyperlink ref="E32" r:id="rId28" xr:uid="{C1252128-0A0D-47FE-A33A-100BD67A2736}"/>
    <hyperlink ref="E33" r:id="rId29" xr:uid="{75AA9121-BDFB-4B8B-BF47-E1D692B64BB5}"/>
    <hyperlink ref="E34" r:id="rId30" xr:uid="{3AA7C9C8-6095-4699-AEDE-A52DF3D09E11}"/>
    <hyperlink ref="E35" r:id="rId31" xr:uid="{98ABFE87-1421-4EF9-BDD9-717D1D6CAF37}"/>
    <hyperlink ref="E38" r:id="rId32" xr:uid="{2B7A2846-9E2F-464B-8358-5DA4E6217DD7}"/>
    <hyperlink ref="E40" r:id="rId33" xr:uid="{0F9FFB58-7C24-4F5B-AF4C-2A8B1F8CC646}"/>
    <hyperlink ref="E41" r:id="rId34" xr:uid="{6A3C1093-B2DF-48D4-B0A2-113B835D907E}"/>
    <hyperlink ref="E42" r:id="rId35" xr:uid="{799ACE58-B12A-4B56-BA94-C671A74F1D21}"/>
    <hyperlink ref="E43" r:id="rId36" xr:uid="{65F95BF2-77F5-479C-8F4E-9BCA17B2A488}"/>
    <hyperlink ref="E44" r:id="rId37" xr:uid="{4C18AB7A-7459-42E0-838E-EA9BE863866C}"/>
    <hyperlink ref="E45" r:id="rId38" xr:uid="{56A6D4D7-0DAD-405D-AB9E-E718F0FB33CB}"/>
    <hyperlink ref="E46" r:id="rId39" xr:uid="{E727F0FA-2D0E-4374-8141-6013A0470F18}"/>
    <hyperlink ref="E47" r:id="rId40" xr:uid="{DE44E34B-AE8B-4B0A-8F84-C0D7A9A22DAD}"/>
    <hyperlink ref="E48" r:id="rId41" xr:uid="{F759E64F-8F66-429B-80A5-9A55C719106C}"/>
    <hyperlink ref="E49" r:id="rId42" xr:uid="{F73A6D24-E340-4A90-9512-B9DE52E1691B}"/>
    <hyperlink ref="E50" r:id="rId43" xr:uid="{972CBDF0-3B5C-4DAF-8F42-A280B0AA8950}"/>
    <hyperlink ref="E51" r:id="rId44" xr:uid="{8D36A8C3-247D-4B20-ACCD-4E522EECA38E}"/>
    <hyperlink ref="E52" r:id="rId45" xr:uid="{4B278051-6BFE-4E49-B2BB-909D625EF981}"/>
    <hyperlink ref="E53" r:id="rId46" xr:uid="{8A90B1D2-B9A3-4FD4-8315-F43A14BA9162}"/>
    <hyperlink ref="E54" r:id="rId47" xr:uid="{FE9BA8D2-45B3-4B96-B06C-B842C7B7D295}"/>
    <hyperlink ref="E55" r:id="rId48" xr:uid="{6825C46E-B68E-4E8B-941D-D6900D5B99B1}"/>
    <hyperlink ref="E56" r:id="rId49" xr:uid="{7DC0B217-33ED-4DCE-9327-8C3CDA3F192B}"/>
    <hyperlink ref="E57" r:id="rId50" xr:uid="{97B0A8D0-79BD-4E81-BB5A-F6FD1B02C39A}"/>
    <hyperlink ref="E59" r:id="rId51" xr:uid="{A6888DCB-0883-4AD2-9DCC-92854061E18A}"/>
    <hyperlink ref="E60" r:id="rId52" xr:uid="{7D0F19B3-A527-4092-AF24-66780F3E3F2F}"/>
    <hyperlink ref="E61" r:id="rId53" xr:uid="{83BBBE3C-F945-42D5-AF20-B797F5E4FFE2}"/>
    <hyperlink ref="E62" r:id="rId54" xr:uid="{5646EB67-A141-4515-8A07-18CF3656BE8A}"/>
    <hyperlink ref="E63" r:id="rId55" xr:uid="{248E7412-C4A3-4C5E-A90B-676F9500961A}"/>
    <hyperlink ref="E64" r:id="rId56" xr:uid="{E65C99A5-522A-4C4F-996E-CD406F5EF31C}"/>
    <hyperlink ref="E65" r:id="rId57" xr:uid="{C14745DE-624C-4320-8A8D-AE823F1A940B}"/>
    <hyperlink ref="E66" r:id="rId58" xr:uid="{687AF26F-053C-4990-ACD9-5954509E632D}"/>
    <hyperlink ref="E67" r:id="rId59" xr:uid="{7942CFF3-E7E5-4D41-B4DB-F1DC6709F25F}"/>
    <hyperlink ref="E68" r:id="rId60" xr:uid="{0EB64145-4070-47E6-A9A8-7B27562B81EF}"/>
    <hyperlink ref="E69" r:id="rId61" xr:uid="{05D113FD-2589-4928-806F-4FE727D31AEB}"/>
    <hyperlink ref="E70" r:id="rId62" xr:uid="{BC5F878F-6882-4ADF-B5B5-471909D68304}"/>
    <hyperlink ref="E71" r:id="rId63" xr:uid="{AB7FF4D5-143C-4675-AF95-643AFA5D9925}"/>
    <hyperlink ref="E72" r:id="rId64" xr:uid="{C8ED6182-ADCF-4171-8D8C-3B96C452A4E8}"/>
    <hyperlink ref="E73" r:id="rId65" xr:uid="{3F5DAC23-B386-4101-AF94-4F5B0F568C6C}"/>
    <hyperlink ref="E74" r:id="rId66" xr:uid="{944D08B1-2FD9-4F23-8008-B70770972BE6}"/>
    <hyperlink ref="E75" r:id="rId67" xr:uid="{28B62257-7004-4113-A6E8-DCDFBED1649F}"/>
    <hyperlink ref="E76" r:id="rId68" xr:uid="{BBC182F9-0EC7-4F6E-9BA9-BBF858AF1112}"/>
    <hyperlink ref="E77" r:id="rId69" xr:uid="{2F6EDA76-E4B8-4AE8-8547-0250314E05DB}"/>
    <hyperlink ref="E78" r:id="rId70" xr:uid="{88B30813-09C7-4FC6-B67F-82F2FBD28EEC}"/>
    <hyperlink ref="E79" r:id="rId71" xr:uid="{240CDDA1-CEF5-4B60-BCCA-8998103FC313}"/>
    <hyperlink ref="E80" r:id="rId72" xr:uid="{0B05C476-035C-45B4-BEA5-89F7916B0B86}"/>
    <hyperlink ref="E81" r:id="rId73" xr:uid="{0196FECC-70BE-4C6F-BA01-ACF7890B9631}"/>
    <hyperlink ref="E82" r:id="rId74" xr:uid="{D75F8DCE-9C9E-4753-BA0D-DD878628B4F0}"/>
    <hyperlink ref="E83" r:id="rId75" xr:uid="{03660875-184A-4E5A-B379-927257275B2D}"/>
    <hyperlink ref="E84" r:id="rId76" xr:uid="{5AB2F88F-C8D8-41DF-87E4-0D3ECD1E1891}"/>
    <hyperlink ref="E85" r:id="rId77" xr:uid="{EE33EF90-E6F1-4FAA-AAB9-B28217BD895C}"/>
    <hyperlink ref="E86" r:id="rId78" xr:uid="{C5731012-4F85-4FB3-A2F8-B1FA6FAE028C}"/>
    <hyperlink ref="E87" r:id="rId79" xr:uid="{62D41460-E834-4AAF-83B1-2C9785C50E90}"/>
    <hyperlink ref="E88" r:id="rId80" xr:uid="{8125E7D1-8A2A-4930-997A-E733CC104B4F}"/>
    <hyperlink ref="E89" r:id="rId81" xr:uid="{C82BE38C-7E3D-4476-B480-1EFF9C05A1D2}"/>
    <hyperlink ref="E90" r:id="rId82" xr:uid="{310D701C-6DB1-4DB2-AE71-A7AEB3603FF2}"/>
    <hyperlink ref="E91" r:id="rId83" xr:uid="{CAE2F8C6-8E2F-406C-B17D-6EA7C0ACCFBF}"/>
    <hyperlink ref="E92" r:id="rId84" xr:uid="{050970CC-810C-4691-89C2-1D7BA932FFF5}"/>
    <hyperlink ref="E94" r:id="rId85" xr:uid="{B889FA25-1C9C-4E86-B35F-0276ED30E1E3}"/>
    <hyperlink ref="E95" r:id="rId86" xr:uid="{1214322E-3DF7-42F7-AA73-99572499C1FE}"/>
    <hyperlink ref="E97" r:id="rId87" xr:uid="{5655B430-CF96-4742-934A-881AEFD00D14}"/>
    <hyperlink ref="E99" r:id="rId88" xr:uid="{9B0D3C20-9AF0-4FD8-8A4C-139993978A2A}"/>
    <hyperlink ref="E100" r:id="rId89" xr:uid="{6623E1EA-C3E5-4CB5-8FE9-D30B4A5229B8}"/>
    <hyperlink ref="E101" r:id="rId90" xr:uid="{3054D4EA-8E1B-49C5-BACE-EFB8D5638541}"/>
    <hyperlink ref="E102" r:id="rId91" xr:uid="{53553841-E531-4398-834F-D845A9701705}"/>
    <hyperlink ref="E103" r:id="rId92" xr:uid="{94DC5BB2-BC08-4A40-8FA7-FD3B7F08BDC8}"/>
    <hyperlink ref="E104" r:id="rId93" xr:uid="{EC0327FC-FFE5-4F7F-B8BA-E58B29C32D72}"/>
    <hyperlink ref="E105" r:id="rId94" xr:uid="{EA2A465F-A206-482D-8451-811BCE1BAAF8}"/>
    <hyperlink ref="E106" r:id="rId95" xr:uid="{1981A54D-7CFE-4A8D-9E55-F1406EDA6B56}"/>
    <hyperlink ref="E107" r:id="rId96" xr:uid="{08B91942-B5D1-493B-A80F-93EA97C112C4}"/>
    <hyperlink ref="E108" r:id="rId97" xr:uid="{872EA3B1-E8BE-4727-BF79-536C0342D882}"/>
    <hyperlink ref="E109" r:id="rId98" xr:uid="{49C0155B-A9FD-4618-A60F-262016FF94FA}"/>
    <hyperlink ref="E110" r:id="rId99" xr:uid="{238D4A39-1C8D-474D-887B-57625B2E4EB1}"/>
    <hyperlink ref="E111" r:id="rId100" xr:uid="{04CEE641-B694-4EEC-BCB7-01046C163D28}"/>
    <hyperlink ref="E112" r:id="rId101" xr:uid="{A67FACE9-E3FD-4E8E-9FC0-2F532015C0B9}"/>
    <hyperlink ref="E113" r:id="rId102" xr:uid="{3522AA01-298E-4078-9302-5E049ED502FF}"/>
    <hyperlink ref="E114" r:id="rId103" xr:uid="{6D04B531-C8C0-4EBC-87F6-AAE7141660EE}"/>
    <hyperlink ref="E115" r:id="rId104" xr:uid="{F9D7859C-7C3E-4EF5-88A8-17298440179E}"/>
    <hyperlink ref="E117" r:id="rId105" xr:uid="{CA860E6D-D1F6-4471-B991-A7D859588C79}"/>
    <hyperlink ref="E118" r:id="rId106" xr:uid="{514C6746-8B7D-4C81-9279-856A0AD55F1F}"/>
    <hyperlink ref="E119" r:id="rId107" xr:uid="{174EFE5B-3B3F-4DEA-8B4D-DC87FB6FB7B4}"/>
    <hyperlink ref="E120" r:id="rId108" xr:uid="{5E48EFF8-7243-4310-8DF7-C8FAC7041226}"/>
    <hyperlink ref="E121" r:id="rId109" xr:uid="{3E306A81-5DFF-4A8F-9368-91469BBB2CAE}"/>
    <hyperlink ref="E122" r:id="rId110" xr:uid="{F0FAA703-F757-4AC1-81C0-E64D770F59AA}"/>
    <hyperlink ref="E123" r:id="rId111" xr:uid="{9E156205-AA25-4686-943E-40672C1CC945}"/>
    <hyperlink ref="E124" r:id="rId112" xr:uid="{7E5F5E7E-C4AD-46BC-B829-CF7EB969211D}"/>
    <hyperlink ref="E125" r:id="rId113" xr:uid="{3466E09E-29A1-434B-AFBF-07D70AD6DEA0}"/>
    <hyperlink ref="E126" r:id="rId114" xr:uid="{6F922A45-AF42-4359-8F3E-80A6A065581C}"/>
    <hyperlink ref="E127" r:id="rId115" xr:uid="{E75D9770-C228-472D-B545-BDD926DA46D1}"/>
    <hyperlink ref="E128" r:id="rId116" xr:uid="{70241FD1-B836-4119-AFC8-BE6DB8F3C67C}"/>
    <hyperlink ref="E129" r:id="rId117" xr:uid="{09CB3A64-007C-450B-A57B-F21D71ACA83B}"/>
    <hyperlink ref="E130" r:id="rId118" xr:uid="{ED99D808-AC79-4BB1-80CF-4BC0C8E8D44E}"/>
    <hyperlink ref="E131" r:id="rId119" xr:uid="{8AC889FF-35B2-49E5-BD8C-F644332C1C4E}"/>
    <hyperlink ref="E132" r:id="rId120" xr:uid="{1F4E5BC1-078A-4E8C-8424-25AF3BADE785}"/>
    <hyperlink ref="E133" r:id="rId121" xr:uid="{68A06935-60B8-45DC-8372-584D97B8FE4C}"/>
    <hyperlink ref="E134" r:id="rId122" xr:uid="{F6847CAE-BF36-4891-B49F-3D27E294B71E}"/>
    <hyperlink ref="E135" r:id="rId123" xr:uid="{81CB2909-B764-4D0B-A59F-5C198411ECFD}"/>
    <hyperlink ref="E136" r:id="rId124" xr:uid="{F56DACAF-9397-4ECA-9207-D08C15694737}"/>
    <hyperlink ref="E137" r:id="rId125" xr:uid="{5713DB81-536E-44CD-BEEA-01DD8BD6361D}"/>
    <hyperlink ref="E138" r:id="rId126" xr:uid="{E834F378-969F-4B95-AE8A-514FE860AD0F}"/>
    <hyperlink ref="E139" r:id="rId127" xr:uid="{4A0B02A4-ED37-4A65-95EA-CE3F1182F5B0}"/>
    <hyperlink ref="E140" r:id="rId128" xr:uid="{6734936B-53F0-4170-BF72-063A718774AA}"/>
    <hyperlink ref="E141" r:id="rId129" xr:uid="{CC9D8EAB-7ACC-41DA-A92F-54FC3AB4597B}"/>
    <hyperlink ref="E143" r:id="rId130" xr:uid="{A5A7358D-7C23-4F60-A12B-5785F5781268}"/>
    <hyperlink ref="E144" r:id="rId131" xr:uid="{16DD2217-8F7C-408B-ADF1-9087CE961C76}"/>
    <hyperlink ref="E146" r:id="rId132" xr:uid="{B297A444-128D-483F-9773-3072D1A170C0}"/>
    <hyperlink ref="E147" r:id="rId133" xr:uid="{B2CDE47B-27CC-4428-ABC3-DEDD409D3A91}"/>
    <hyperlink ref="E148" r:id="rId134" xr:uid="{EFF08C00-8730-474F-AB2C-8C55819EF792}"/>
    <hyperlink ref="E150" r:id="rId135" xr:uid="{D11F0EC6-08EF-4652-B915-B99D0DB7AF04}"/>
    <hyperlink ref="E151" r:id="rId136" xr:uid="{15E47095-D6AB-4B9A-B5AA-69AC3D60E126}"/>
    <hyperlink ref="E152" r:id="rId137" xr:uid="{F91E6F35-8D74-4CC6-A19F-D9390A9B29C5}"/>
    <hyperlink ref="E153" r:id="rId138" xr:uid="{EB56F1D4-7C71-4013-A3C2-4A76F47C9829}"/>
    <hyperlink ref="E154" r:id="rId139" xr:uid="{27E8C81C-9C7C-4265-82D6-235E501E9691}"/>
    <hyperlink ref="E155" r:id="rId140" xr:uid="{0B3D1802-E30D-421C-B125-9BC5F3DEB9E1}"/>
    <hyperlink ref="E156" r:id="rId141" xr:uid="{624FE809-250A-4479-BE24-ABD72ED85746}"/>
    <hyperlink ref="E157" r:id="rId142" xr:uid="{F6479607-0DDF-48D4-BBF0-1B9AF82284A2}"/>
    <hyperlink ref="E158" r:id="rId143" xr:uid="{D981E9E7-E0FF-4161-928D-B63BF47C0894}"/>
    <hyperlink ref="E159" r:id="rId144" xr:uid="{41F221FB-9B7D-4D6D-80E8-7BC84092BD03}"/>
    <hyperlink ref="E160" r:id="rId145" xr:uid="{D65E2E01-72AA-4F16-A658-D8DAA6F64752}"/>
    <hyperlink ref="E161" r:id="rId146" xr:uid="{6D347F6D-243F-4909-929D-35A00A584CAE}"/>
    <hyperlink ref="E162" r:id="rId147" xr:uid="{51C074C2-FFCC-46EA-951A-AE032E5D66D2}"/>
    <hyperlink ref="E163" r:id="rId148" xr:uid="{7B88D210-B563-4B62-B605-A61E055B2848}"/>
    <hyperlink ref="E164" r:id="rId149" xr:uid="{6401EACF-8429-4590-B09B-A96D2E378CFC}"/>
    <hyperlink ref="E165" r:id="rId150" xr:uid="{F85DCD49-2BD9-4CCD-B8F4-81598CBC2861}"/>
    <hyperlink ref="E166" r:id="rId151" xr:uid="{277EF415-B174-4097-9E6A-4330A775065F}"/>
    <hyperlink ref="E167" r:id="rId152" xr:uid="{ACB81168-6CCC-4329-9572-BE33EB7867C6}"/>
    <hyperlink ref="E168" r:id="rId153" xr:uid="{86494DD1-232D-4645-AF3E-5297B78209E4}"/>
    <hyperlink ref="E169" r:id="rId154" xr:uid="{8DE8ADA5-F445-4459-BB97-4322D30BF957}"/>
    <hyperlink ref="E170" r:id="rId155" xr:uid="{0CAA754C-369C-4314-82AE-92E918CB78C2}"/>
    <hyperlink ref="E171" r:id="rId156" xr:uid="{ADFB69CD-0E60-42CC-9B22-EE4CED2DDB47}"/>
    <hyperlink ref="E172" r:id="rId157" xr:uid="{D0EE4C69-2A04-44D6-9A34-BEB9F74EFD42}"/>
    <hyperlink ref="E173" r:id="rId158" xr:uid="{35151523-6D71-4047-BC30-B56135F2A721}"/>
    <hyperlink ref="E174" r:id="rId159" xr:uid="{9126AF65-0868-4112-8ABB-2F9AFE6EF700}"/>
    <hyperlink ref="E175" r:id="rId160" xr:uid="{6CF03BB2-62BB-463A-8EDE-A114F537A830}"/>
    <hyperlink ref="E176" r:id="rId161" xr:uid="{7486A796-BB9F-49D7-B272-C251E80A24ED}"/>
    <hyperlink ref="E177" r:id="rId162" xr:uid="{DE0AF1EA-16E0-4C49-97BB-440DB64C2983}"/>
    <hyperlink ref="E178" r:id="rId163" xr:uid="{795A6424-3509-4A4A-BA3D-6AC612B716E5}"/>
    <hyperlink ref="E179" r:id="rId164" xr:uid="{301DD718-169A-4D3B-BF81-9332334C8010}"/>
    <hyperlink ref="E180" r:id="rId165" xr:uid="{B7618FE7-E3BC-4318-98F8-991B2DFE9B44}"/>
    <hyperlink ref="E181" r:id="rId166" xr:uid="{BC3C8A6D-12D8-4E0E-B771-ECB9368DD520}"/>
    <hyperlink ref="E182" r:id="rId167" xr:uid="{9F9CC104-F537-4EBA-A657-13D472063842}"/>
    <hyperlink ref="E183" r:id="rId168" xr:uid="{1A7A26A0-DE52-473A-8CFC-0E70EEB2B641}"/>
    <hyperlink ref="E184" r:id="rId169" xr:uid="{4F09B8B1-8437-414D-BC78-86ACF5F38744}"/>
    <hyperlink ref="E185" r:id="rId170" xr:uid="{9EAF9670-489E-4A57-8BD8-177EA0F7874D}"/>
    <hyperlink ref="E186" r:id="rId171" xr:uid="{58083103-1CD4-42B5-8DB2-D2E41A9EEF6C}"/>
    <hyperlink ref="E187" r:id="rId172" xr:uid="{E4F236A5-28CE-42ED-8C03-C7304B2B91DF}"/>
    <hyperlink ref="E188" r:id="rId173" xr:uid="{6E85D180-B0C9-4193-9AE7-5B0E9BD056FD}"/>
    <hyperlink ref="E189" r:id="rId174" xr:uid="{C93F61BF-8115-43D1-AC8B-4ABC2AEB75F5}"/>
    <hyperlink ref="E190" r:id="rId175" xr:uid="{04030D58-96FC-4C26-8BB4-05136C75B42C}"/>
    <hyperlink ref="E191" r:id="rId176" xr:uid="{CA4410FD-8C50-4ABD-8590-A8F391B88285}"/>
    <hyperlink ref="E192" r:id="rId177" xr:uid="{1F1D61FB-7532-423E-85CC-44420428437F}"/>
    <hyperlink ref="E193" r:id="rId178" xr:uid="{3C2CB8E5-47EB-47A4-8AE9-2852F8A15CD8}"/>
    <hyperlink ref="E194" r:id="rId179" xr:uid="{D7E25214-AE1B-46D8-BAA9-9FC983EEF85F}"/>
    <hyperlink ref="E195" r:id="rId180" xr:uid="{E4961DBB-B383-45BD-82E8-6B801B1F5886}"/>
    <hyperlink ref="E196" r:id="rId181" xr:uid="{30C5BD16-9E42-471C-AC9D-44552D7031E9}"/>
    <hyperlink ref="E197" r:id="rId182" xr:uid="{FBEBF31F-D36E-4B64-ADD1-A44743A535B8}"/>
    <hyperlink ref="E198" r:id="rId183" xr:uid="{A71D47DB-F7C7-4A94-AD6A-E853AF6D3CCF}"/>
    <hyperlink ref="E199" r:id="rId184" xr:uid="{926901C8-24B3-4A2C-9297-D207C4B0ACB8}"/>
    <hyperlink ref="E200" r:id="rId185" xr:uid="{356B6BD9-56B5-48F4-AD07-968A2B91A76D}"/>
    <hyperlink ref="E201" r:id="rId186" xr:uid="{2AD2735C-B529-463C-AC64-A236B43C274C}"/>
    <hyperlink ref="E202" r:id="rId187" xr:uid="{13027560-A4DF-4F24-8ACB-6B9F73D71F9B}"/>
    <hyperlink ref="E203" r:id="rId188" xr:uid="{290C9010-BC5C-4CC6-B34B-F36F27DEF083}"/>
    <hyperlink ref="E204" r:id="rId189" xr:uid="{E5EA931C-03B3-4425-B613-7545F2982C5B}"/>
    <hyperlink ref="E206" r:id="rId190" xr:uid="{AF178D87-1A61-48D4-8B95-B569B5417084}"/>
    <hyperlink ref="E207" r:id="rId191" xr:uid="{C1520867-89D7-49B5-ACE8-0A5D366C78EB}"/>
    <hyperlink ref="E208" r:id="rId192" xr:uid="{FA97BD8C-D71B-4161-A229-8C590E6F3C55}"/>
    <hyperlink ref="E209" r:id="rId193" xr:uid="{130BCB68-7404-4700-BE17-74C0E1A654F0}"/>
    <hyperlink ref="E210" r:id="rId194" xr:uid="{C0BA37B5-EEE7-4BB4-830C-7D95DF1827A9}"/>
    <hyperlink ref="E211" r:id="rId195" xr:uid="{C7288777-9332-4454-8A10-2CD8AF09183E}"/>
    <hyperlink ref="E212" r:id="rId196" xr:uid="{75AE2ED9-FDB5-4922-8006-D0293643B50D}"/>
    <hyperlink ref="E213" r:id="rId197" xr:uid="{325E1FD5-8D19-43B0-A3EA-DE8F247A0E4D}"/>
    <hyperlink ref="E215" r:id="rId198" xr:uid="{8BD57BEB-5994-42D7-ADB1-7CB63FE7872E}"/>
    <hyperlink ref="E216" r:id="rId199" xr:uid="{8167B516-353F-47FF-A364-9F46472737C2}"/>
    <hyperlink ref="E217" r:id="rId200" xr:uid="{C2EE874F-E554-4C86-8399-6D822CDD2E7C}"/>
    <hyperlink ref="E218" r:id="rId201" xr:uid="{68D0F04D-9E0A-4EED-B9AA-17A1D7687E6D}"/>
    <hyperlink ref="E219" r:id="rId202" xr:uid="{A3333381-1882-4857-BF00-4DC48ABE0327}"/>
    <hyperlink ref="E220" r:id="rId203" xr:uid="{F3E20A32-941E-470A-A74E-D11DCC9E2891}"/>
    <hyperlink ref="E221" r:id="rId204" xr:uid="{403280A8-90CA-4779-8C13-4A1FDF3A7152}"/>
    <hyperlink ref="E222" r:id="rId205" xr:uid="{DD3D1634-5196-435C-8A33-C11ADE646C25}"/>
    <hyperlink ref="E223" r:id="rId206" xr:uid="{311D82AF-9B8E-4632-AAFC-4A9026C1E66A}"/>
    <hyperlink ref="E224" r:id="rId207" xr:uid="{7A60A59D-3294-4853-BB29-B682573F33D3}"/>
    <hyperlink ref="E225" r:id="rId208" xr:uid="{B2741672-5FFC-46E2-9A0C-3540EBFF0592}"/>
    <hyperlink ref="E226" r:id="rId209" xr:uid="{774129B5-F859-46A5-B997-AFDEF51E2B3C}"/>
    <hyperlink ref="E227" r:id="rId210" xr:uid="{B9A1460E-D851-4825-BD9B-DACD99673E21}"/>
    <hyperlink ref="E228" r:id="rId211" xr:uid="{78DD2B96-126C-4D9F-931A-7F1EA16FF77A}"/>
    <hyperlink ref="E229" r:id="rId212" xr:uid="{1514D5F0-3777-4BA4-AF37-99A44ADFD04C}"/>
    <hyperlink ref="E230" r:id="rId213" xr:uid="{5BC2AB1A-F1AC-43B6-8043-11E2898B4901}"/>
    <hyperlink ref="E231" r:id="rId214" xr:uid="{76510121-4440-4361-84B0-75B2EB895A4D}"/>
    <hyperlink ref="E232" r:id="rId215" xr:uid="{8E7398FE-7E4C-4F01-A92D-0AE5E59E91DF}"/>
    <hyperlink ref="E233" r:id="rId216" xr:uid="{91E7D743-539A-465F-9D76-070A6A6A0306}"/>
    <hyperlink ref="E235" r:id="rId217" xr:uid="{C14AD276-8482-4372-96CE-18A1E287F070}"/>
    <hyperlink ref="E236" r:id="rId218" xr:uid="{E287DA69-2028-4444-81C8-A30CDCC17DA5}"/>
    <hyperlink ref="E237" r:id="rId219" xr:uid="{10DEF07F-A837-41C9-902A-9C07BB3F0AAF}"/>
    <hyperlink ref="E238" r:id="rId220" xr:uid="{6DB22E45-A01E-469F-B00B-2F528372E572}"/>
    <hyperlink ref="E239" r:id="rId221" xr:uid="{2D8009FA-CE86-4A9E-B2D3-CF62C1C25CAE}"/>
    <hyperlink ref="E240" r:id="rId222" xr:uid="{AAC597F1-945D-441E-AB43-1302E1589E4B}"/>
    <hyperlink ref="E241" r:id="rId223" xr:uid="{129BBACB-307E-4BF5-88E4-975EF8F48223}"/>
    <hyperlink ref="E242" r:id="rId224" xr:uid="{B3D76290-8C05-4C88-85F7-E44FB19DE6B1}"/>
    <hyperlink ref="E243" r:id="rId225" xr:uid="{4D2CBE71-4465-442C-8269-E19F8DDA340C}"/>
    <hyperlink ref="E244" r:id="rId226" xr:uid="{49404AF5-F101-44C9-A21D-CE9D5C3C1D7B}"/>
    <hyperlink ref="E245" r:id="rId227" xr:uid="{1DB3C8D0-461A-40F5-AA73-B312D7CE4959}"/>
    <hyperlink ref="E246" r:id="rId228" xr:uid="{4ADC6006-1048-4580-9BFE-EAA430F194A0}"/>
    <hyperlink ref="E247" r:id="rId229" xr:uid="{BD98E0E8-9C95-4691-886B-344F4BC0A59E}"/>
    <hyperlink ref="E248" r:id="rId230" xr:uid="{1205262E-EC18-47EC-B04B-72EBE165AEFB}"/>
    <hyperlink ref="E249" r:id="rId231" xr:uid="{03C2C6E6-D254-465E-80E3-2D52B3F14118}"/>
    <hyperlink ref="E250" r:id="rId232" xr:uid="{DB93E9A5-B662-4C17-81FF-34DEBE586FF0}"/>
    <hyperlink ref="E251" r:id="rId233" xr:uid="{B1AA87B9-CF8B-4FCB-9D99-ED2B7616A9E5}"/>
    <hyperlink ref="E252" r:id="rId234" xr:uid="{963E657E-63D6-40CF-96C2-1DAA7BF1347C}"/>
    <hyperlink ref="E253" r:id="rId235" xr:uid="{44B61FF1-49F4-4617-85CA-E07C8AACD9C6}"/>
    <hyperlink ref="E254" r:id="rId236" xr:uid="{345F77ED-8D6F-4DE9-8574-F65914B137C0}"/>
    <hyperlink ref="E255" r:id="rId237" xr:uid="{6B9E195B-074B-4443-9559-04985614071B}"/>
    <hyperlink ref="E256" r:id="rId238" xr:uid="{4C0AE85E-F9E6-496B-8817-D6501B2C1ADF}"/>
    <hyperlink ref="E257" r:id="rId239" xr:uid="{78BCAE32-7004-410B-BD94-98B2DC907C4C}"/>
    <hyperlink ref="E258" r:id="rId240" xr:uid="{312DF18C-BFD3-499C-960D-C9F1A15E9CDD}"/>
    <hyperlink ref="E259" r:id="rId241" xr:uid="{C3699FA5-79C7-40D5-ACAA-79C4EA79A3F6}"/>
    <hyperlink ref="E260" r:id="rId242" xr:uid="{45D21D99-5EEA-4682-B4CA-2709C005A2CC}"/>
    <hyperlink ref="E261" r:id="rId243" xr:uid="{53A4F5B1-3886-4392-A89E-E1A4614E333D}"/>
    <hyperlink ref="E262" r:id="rId244" xr:uid="{65471EAB-5438-425C-8E33-1FEC84FEE97A}"/>
    <hyperlink ref="E263" r:id="rId245" xr:uid="{E7542990-256E-4367-8463-0D41963D3EC1}"/>
    <hyperlink ref="E264" r:id="rId246" xr:uid="{CE00630C-3541-41C4-A3A1-22C68FC263DF}"/>
    <hyperlink ref="E265" r:id="rId247" xr:uid="{7FE224A9-7ED2-4C14-BE6A-96B33411534C}"/>
    <hyperlink ref="E267" r:id="rId248" xr:uid="{A536DDE2-B112-414D-916D-BE5BD4828735}"/>
    <hyperlink ref="E268" r:id="rId249" xr:uid="{E65235FD-5D63-4CBD-9424-3D82EC335223}"/>
    <hyperlink ref="E269" r:id="rId250" xr:uid="{D24F48B3-8475-4473-BA67-F3F08AEC9ABC}"/>
    <hyperlink ref="E270" r:id="rId251" xr:uid="{C453E6FE-3152-437A-B3CB-8F567AD7B393}"/>
    <hyperlink ref="E271" r:id="rId252" xr:uid="{E8279DAF-9BA3-4EC2-A875-7AE880702616}"/>
    <hyperlink ref="E273" r:id="rId253" xr:uid="{9BF4B401-2CCE-4399-995A-50D0FEF30D79}"/>
    <hyperlink ref="E274" r:id="rId254" xr:uid="{73518E8C-FBD7-40B1-8004-0BCFD5AC1FB4}"/>
    <hyperlink ref="E275" r:id="rId255" xr:uid="{9F6EC2D5-E58F-492F-A5ED-6A758FE030F2}"/>
    <hyperlink ref="E276" r:id="rId256" xr:uid="{D9AFF7A3-B7A9-4DA0-B247-BE9DEF28E474}"/>
    <hyperlink ref="E278" r:id="rId257" xr:uid="{E3486CDD-5DBF-437B-97DB-8A31D765010E}"/>
    <hyperlink ref="E279" r:id="rId258" xr:uid="{0A9C98BF-2712-4E81-9013-CC6529C1F541}"/>
    <hyperlink ref="E280" r:id="rId259" xr:uid="{659756AC-CB5C-4A6E-B0DC-54A18713CAF7}"/>
    <hyperlink ref="E281" r:id="rId260" xr:uid="{FA018894-B23A-4E12-BCD6-14ABEEE8AF51}"/>
    <hyperlink ref="E282" r:id="rId261" xr:uid="{708F0393-B5C7-47BC-BE7B-12D46F9865A5}"/>
    <hyperlink ref="E283" r:id="rId262" xr:uid="{B35B709E-56C5-437B-841B-7563C1873C50}"/>
    <hyperlink ref="E286" r:id="rId263" xr:uid="{6F4A50BD-2CC5-447F-9CDA-E872EC8E127A}"/>
    <hyperlink ref="E287" r:id="rId264" xr:uid="{841C0EDF-AC31-4C93-98C3-22EE70038609}"/>
    <hyperlink ref="E288" r:id="rId265" xr:uid="{B22FC4D5-BF6A-4264-8B38-9535F064A6CD}"/>
    <hyperlink ref="E289" r:id="rId266" xr:uid="{E2FD2D68-BD2B-4958-A2CB-2769C636C352}"/>
    <hyperlink ref="E290" r:id="rId267" xr:uid="{2A3825E6-CAE5-4871-9EE4-57CEF803713E}"/>
    <hyperlink ref="E291" r:id="rId268" xr:uid="{ACF69804-A0A2-448E-85CA-4D2B9C884088}"/>
    <hyperlink ref="E292" r:id="rId269" xr:uid="{5825E710-6EEC-43F2-91DA-D562EF17E5FA}"/>
    <hyperlink ref="E293" r:id="rId270" xr:uid="{BD8A3504-FD02-4914-8F4F-ECFD5CC54B57}"/>
    <hyperlink ref="E294" r:id="rId271" xr:uid="{08F03F32-2681-480E-93A2-6D9F5BB54FAE}"/>
    <hyperlink ref="E295" r:id="rId272" xr:uid="{24A44330-3A39-4994-9941-ECF096D70CF9}"/>
    <hyperlink ref="E296" r:id="rId273" xr:uid="{21CE0783-F23D-413C-84E4-CF512110BAF5}"/>
    <hyperlink ref="E297" r:id="rId274" xr:uid="{A8E778A0-E9F6-4CB1-83E7-259C10A44DB9}"/>
    <hyperlink ref="E298" r:id="rId275" xr:uid="{C1090FDC-0681-4D1B-BD23-CB294A5F82F3}"/>
    <hyperlink ref="E299" r:id="rId276" xr:uid="{5EFB032A-07F7-4431-AD21-4E1D752975F9}"/>
    <hyperlink ref="E300" r:id="rId277" xr:uid="{2332A6B2-EB5F-45BC-B81D-8007F9409339}"/>
    <hyperlink ref="E301" r:id="rId278" xr:uid="{F05C8E90-698F-489A-A0CC-17E296A80B3B}"/>
    <hyperlink ref="E304" r:id="rId279" xr:uid="{00ACDBB9-FAB3-4CB5-94B3-42D132344957}"/>
    <hyperlink ref="E305" r:id="rId280" xr:uid="{E3B58F05-BD68-4CBB-A464-6B81C9B6B8A3}"/>
    <hyperlink ref="E306" r:id="rId281" xr:uid="{0D8CF6BF-9F04-4F9A-9A59-CC9508C96C23}"/>
    <hyperlink ref="E307" r:id="rId282" xr:uid="{F6278D89-FEED-48F6-88AF-96D10A3802F2}"/>
    <hyperlink ref="E308" r:id="rId283" xr:uid="{8F1ADC02-7AD9-48A2-8E80-7F744ADD324D}"/>
    <hyperlink ref="E309" r:id="rId284" xr:uid="{FE1CDA37-DD1A-455D-8F33-00DEC84F098F}"/>
    <hyperlink ref="E310" r:id="rId285" xr:uid="{537B65C3-1613-42DA-8AD0-817B52B8F62F}"/>
    <hyperlink ref="E311" r:id="rId286" xr:uid="{6EE463B0-4987-4225-9A3D-B626ED1C5416}"/>
    <hyperlink ref="E312" r:id="rId287" xr:uid="{F7AA5F49-435D-4316-B7B0-AA75824AC154}"/>
    <hyperlink ref="E313" r:id="rId288" xr:uid="{B3C8014D-7C99-408F-BE6F-4F8C438BD839}"/>
    <hyperlink ref="E314" r:id="rId289" xr:uid="{D5255FF9-F225-4331-B103-5D425F0654A7}"/>
    <hyperlink ref="E315" r:id="rId290" xr:uid="{9A476028-4AE9-4CA4-B532-10DBCB9D15FE}"/>
    <hyperlink ref="E317" r:id="rId291" xr:uid="{7546D8E4-E411-4001-995C-A654111DE2E4}"/>
    <hyperlink ref="E318" r:id="rId292" xr:uid="{4DC28C16-5739-4635-B64C-4502EAF34CFB}"/>
    <hyperlink ref="E319" r:id="rId293" xr:uid="{258AFA06-A8E9-49E1-BDD8-0C9602D2D903}"/>
    <hyperlink ref="E320" r:id="rId294" xr:uid="{AF055051-5171-464D-A7CC-9C47EBC71985}"/>
    <hyperlink ref="E321" r:id="rId295" xr:uid="{E54C9BBE-AE0C-46A5-87BE-3DB78C5260FD}"/>
    <hyperlink ref="E322" r:id="rId296" xr:uid="{BFA3AEF0-FB11-44C5-B428-1D3D00E4FFCE}"/>
    <hyperlink ref="E323" r:id="rId297" xr:uid="{D124421E-B299-4420-8282-312F1D4D1564}"/>
    <hyperlink ref="E324" r:id="rId298" xr:uid="{F344C3FB-DD49-423D-BF48-F0AF02911DBD}"/>
    <hyperlink ref="E325" r:id="rId299" xr:uid="{F1900B6C-9F4E-4785-8042-A3B6FDFFCDD8}"/>
    <hyperlink ref="E326" r:id="rId300" xr:uid="{C500E45F-3345-4EF6-8F3C-2C9FCD89D900}"/>
    <hyperlink ref="E327" r:id="rId301" xr:uid="{A694D105-28F1-41A2-8751-7303532A36C0}"/>
    <hyperlink ref="E328" r:id="rId302" xr:uid="{C42D49FE-FD5C-42AE-B890-93FE7FD7DEB8}"/>
    <hyperlink ref="E329" r:id="rId303" xr:uid="{0428C7B8-B4EF-4A4F-A19E-3414D4F59093}"/>
    <hyperlink ref="E330" r:id="rId304" xr:uid="{4E862F28-41D9-425E-8BA2-E495BD336CFC}"/>
    <hyperlink ref="E331" r:id="rId305" xr:uid="{88DF3BE0-33BF-4958-87EB-EDE55A905BA2}"/>
    <hyperlink ref="E332" r:id="rId306" xr:uid="{E3054679-3DCA-46D6-92B6-A6CB204C63B1}"/>
    <hyperlink ref="E333" r:id="rId307" xr:uid="{402233BD-FA77-404F-8386-911BA45C3D84}"/>
    <hyperlink ref="E334" r:id="rId308" xr:uid="{686E526C-C9C1-4F67-960E-C63E7401F205}"/>
    <hyperlink ref="E335" r:id="rId309" xr:uid="{28170BDF-5DC4-4CBD-81F4-883CCDA1C0BD}"/>
    <hyperlink ref="E336" r:id="rId310" xr:uid="{465EBC6B-F1FA-4227-BB02-4C97F9FEE3AD}"/>
    <hyperlink ref="E337" r:id="rId311" xr:uid="{5F76C213-F454-4122-B30D-CE39840E1381}"/>
    <hyperlink ref="E338" r:id="rId312" xr:uid="{6CDC2D09-7A28-423F-868B-20D5D1ED677C}"/>
    <hyperlink ref="E339" r:id="rId313" xr:uid="{C2DA1E88-CA40-45EC-A1A1-C71D1F9588CF}"/>
    <hyperlink ref="E340" r:id="rId314" xr:uid="{FE014220-ACEC-42D8-818A-A31245796F2A}"/>
    <hyperlink ref="E341" r:id="rId315" xr:uid="{D2D1A9DE-C766-4BA1-BAEC-C2B650BEBC65}"/>
    <hyperlink ref="E342" r:id="rId316" xr:uid="{AC47879D-2F07-4438-AF2C-5DEC8B586E3B}"/>
    <hyperlink ref="E343" r:id="rId317" xr:uid="{D3F5C69F-5E1A-4369-B70D-5EB4E7FF89ED}"/>
    <hyperlink ref="E344" r:id="rId318" xr:uid="{13B4E231-E7C6-4672-A636-E91219653589}"/>
    <hyperlink ref="E345" r:id="rId319" xr:uid="{0717A91F-C74F-4B97-B163-8F7FD5026D33}"/>
    <hyperlink ref="E346" r:id="rId320" xr:uid="{A2FF2A98-969C-4F41-9102-FA468CB39B66}"/>
    <hyperlink ref="E347" r:id="rId321" xr:uid="{3C6F4D49-84E0-4A40-8B01-95FC5AD34CF2}"/>
    <hyperlink ref="E348" r:id="rId322" xr:uid="{569602D9-DBB1-4850-9CC2-E831764A5A43}"/>
    <hyperlink ref="E349" r:id="rId323" xr:uid="{C0DA5DF4-A48C-4CCB-92ED-A16B2A98851C}"/>
    <hyperlink ref="E350" r:id="rId324" xr:uid="{8D1B63BB-EB15-4F1B-A884-B38E65ED0D3A}"/>
    <hyperlink ref="E351" r:id="rId325" xr:uid="{09994101-DE95-423A-90D4-8DFC7C058B28}"/>
    <hyperlink ref="E353" r:id="rId326" xr:uid="{4471AD44-3B5D-4136-B7EA-14ADDCD293BD}"/>
    <hyperlink ref="E354" r:id="rId327" xr:uid="{3B5BC800-6A3C-4A80-8D48-3FB8BCD8A1B3}"/>
    <hyperlink ref="E355" r:id="rId328" xr:uid="{B11DB907-EDB5-4015-B02E-8B77FB48DDA3}"/>
    <hyperlink ref="E356" r:id="rId329" xr:uid="{77B8834E-5D5D-47A0-8775-1B38A9F5E224}"/>
    <hyperlink ref="E357" r:id="rId330" xr:uid="{ABF719B0-38FA-4A3F-B128-B5B6B02AD2E4}"/>
    <hyperlink ref="E358" r:id="rId331" xr:uid="{DF33669A-B33A-4A0D-88D7-3F261D265606}"/>
    <hyperlink ref="E359" r:id="rId332" xr:uid="{C6AF4E3E-5701-4625-A891-4B3DC5F95272}"/>
    <hyperlink ref="E360" r:id="rId333" xr:uid="{F5C6729F-977E-4861-97ED-5360D961C782}"/>
    <hyperlink ref="E361" r:id="rId334" xr:uid="{F977622B-0BCE-4EDD-BAC1-9952C7A9EA16}"/>
    <hyperlink ref="E362" r:id="rId335" xr:uid="{798FE5C9-3E1C-4DD9-BAC7-8FD6C80BD2F3}"/>
    <hyperlink ref="E363" r:id="rId336" xr:uid="{9E0DCF01-8F1A-4C2D-A3EC-3254558C8E08}"/>
    <hyperlink ref="E364" r:id="rId337" xr:uid="{0EE0DFB2-D4D8-40DB-B2E8-724D87156126}"/>
    <hyperlink ref="E365" r:id="rId338" xr:uid="{0E0527C3-0787-46A6-AE45-7FE75FAF97CC}"/>
    <hyperlink ref="E366" r:id="rId339" xr:uid="{42016B38-C8F7-4EF1-8D94-4E2C95DF706A}"/>
    <hyperlink ref="E367" r:id="rId340" xr:uid="{231340E3-8477-41E1-AC61-28A97238ED60}"/>
    <hyperlink ref="E368" r:id="rId341" xr:uid="{E5AE006A-2099-41FF-BAA2-6C870F0C5BE8}"/>
    <hyperlink ref="E369" r:id="rId342" xr:uid="{62F9EB04-AFD7-4CC7-A2BE-C2A2FD0313A6}"/>
    <hyperlink ref="E370" r:id="rId343" xr:uid="{FE88EA67-F021-43F6-AA07-8A7E191F3C08}"/>
    <hyperlink ref="E371" r:id="rId344" xr:uid="{57954681-03B9-419E-B626-9FB4DD9726AE}"/>
    <hyperlink ref="E372" r:id="rId345" xr:uid="{E28F9A5F-40A6-4A7B-ACC1-3088F1F5E0E3}"/>
    <hyperlink ref="E373" r:id="rId346" xr:uid="{14FBADE2-5E87-412F-B554-D0211A38659D}"/>
    <hyperlink ref="E374" r:id="rId347" xr:uid="{10953D40-1BD2-4978-8FFE-70589986A1DF}"/>
    <hyperlink ref="E375" r:id="rId348" xr:uid="{290C43B3-E608-4E97-86CD-2CD66B057863}"/>
    <hyperlink ref="E376" r:id="rId349" xr:uid="{F03CC5EA-2596-4D5A-8C55-E8F7C71999FE}"/>
    <hyperlink ref="E377" r:id="rId350" xr:uid="{6A5E3582-4FD5-4BD0-B544-9CA8B3E44348}"/>
    <hyperlink ref="E378" r:id="rId351" xr:uid="{69251B4F-CB51-4B27-8520-38F3BFFAB9A3}"/>
    <hyperlink ref="E379" r:id="rId352" xr:uid="{AFD48041-B4F5-492E-A9CC-2F9B1CE5FDDB}"/>
    <hyperlink ref="E380" r:id="rId353" xr:uid="{4770ED37-1CC6-450C-8AEC-9EE519433E0A}"/>
    <hyperlink ref="E381" r:id="rId354" xr:uid="{1B8C3A85-637D-43EB-9F07-3DA453F0DD7C}"/>
    <hyperlink ref="E383" r:id="rId355" xr:uid="{51263A7B-7D17-4CD5-B7AA-3B1D302D0C36}"/>
    <hyperlink ref="E384" r:id="rId356" xr:uid="{69A5E0EB-87C2-4BC5-9769-2EE6BEEDDE73}"/>
    <hyperlink ref="E385" r:id="rId357" xr:uid="{55958202-5FB0-4460-B11F-2C202401590E}"/>
    <hyperlink ref="E387" r:id="rId358" xr:uid="{C1DD0EA5-788C-4399-AD0E-5B89F239C5B7}"/>
    <hyperlink ref="E388" r:id="rId359" xr:uid="{C6739DFF-546C-4B58-B481-04C323681F03}"/>
    <hyperlink ref="E389" r:id="rId360" xr:uid="{6BAA932F-AFC9-48C4-B084-BB8759EED7F0}"/>
    <hyperlink ref="E390" r:id="rId361" xr:uid="{C9EBE032-4DB3-4516-A5F1-86273E72D49F}"/>
    <hyperlink ref="E391" r:id="rId362" xr:uid="{87378B9E-FA2B-453E-8664-DFE0B505C6CA}"/>
    <hyperlink ref="E392" r:id="rId363" xr:uid="{75F71D6F-E6D0-4F48-8142-6AA8ED6175CE}"/>
    <hyperlink ref="E393" r:id="rId364" xr:uid="{035E98F4-39C7-4F2D-80B0-818BEA1CC038}"/>
    <hyperlink ref="E394" r:id="rId365" xr:uid="{7750B715-FC78-42F5-9885-E32F2B68C7C2}"/>
    <hyperlink ref="E395" r:id="rId366" xr:uid="{3208849C-D9C2-4425-9302-AEDB2CB929AF}"/>
    <hyperlink ref="E396" r:id="rId367" xr:uid="{BD85E64E-AA20-4E0B-9F8D-23135F9B1185}"/>
    <hyperlink ref="E397" r:id="rId368" xr:uid="{608E3654-099D-4270-8259-B4E301AE222D}"/>
    <hyperlink ref="E398" r:id="rId369" xr:uid="{E81DAF86-5856-4B75-87FF-3AE832404D4D}"/>
    <hyperlink ref="E399" r:id="rId370" xr:uid="{901CA15F-5F74-44FE-901C-166FDA5CF66C}"/>
    <hyperlink ref="E400" r:id="rId371" xr:uid="{A48DBD59-3B57-4C57-86B3-3262ABAB1B5D}"/>
    <hyperlink ref="E401" r:id="rId372" xr:uid="{0AB7F47B-8A69-47B8-AAB2-A642B51FD335}"/>
    <hyperlink ref="E402" r:id="rId373" xr:uid="{5A7E1AC3-818E-41FB-8A34-10841AC9BA55}"/>
    <hyperlink ref="E403" r:id="rId374" xr:uid="{DB5F6E21-EF50-456A-A349-E3AABB9023BF}"/>
    <hyperlink ref="E404" r:id="rId375" xr:uid="{987AA059-6A2A-4AC2-90DF-E95F3752237A}"/>
    <hyperlink ref="E405" r:id="rId376" xr:uid="{EDBE9979-D902-4830-A4E0-E902C083D8A6}"/>
    <hyperlink ref="E406" r:id="rId377" xr:uid="{6BD2CFC5-9244-4DA8-BD67-58247D93F0DB}"/>
    <hyperlink ref="E407" r:id="rId378" xr:uid="{3698E5DF-9578-4DD7-BE54-1E906CDFF671}"/>
    <hyperlink ref="E409" r:id="rId379" xr:uid="{21FA5B8C-2FB2-4ECE-8466-396461C2BFFF}"/>
    <hyperlink ref="E410" r:id="rId380" xr:uid="{20777118-A88A-4C0D-B51E-E1705DED89B3}"/>
    <hyperlink ref="E411" r:id="rId381" xr:uid="{EC7DE0A8-B8BC-4940-856D-F2F26EE31A1D}"/>
    <hyperlink ref="E412" r:id="rId382" xr:uid="{9C4CDEBA-92CF-4C4F-9F2B-05C4AD54A437}"/>
    <hyperlink ref="E413" r:id="rId383" xr:uid="{11CC93EC-BDE9-4095-8B1A-3B1952E6468E}"/>
    <hyperlink ref="E414" r:id="rId384" xr:uid="{70C86017-3396-4F8E-86B5-077E1CC22FA1}"/>
    <hyperlink ref="E415" r:id="rId385" xr:uid="{B3B09561-C439-4B54-A24A-66BCB32B78E9}"/>
    <hyperlink ref="E416" r:id="rId386" xr:uid="{2D75F5AB-649E-4C7A-B16F-36ADA64D1EF6}"/>
    <hyperlink ref="E417" r:id="rId387" xr:uid="{C2DD82E9-42F8-484C-BB6A-2116EAB48A5F}"/>
    <hyperlink ref="E418" r:id="rId388" xr:uid="{1F3F2107-CBF1-45C2-A163-710246A7A8AF}"/>
    <hyperlink ref="E419" r:id="rId389" xr:uid="{5A1E7C80-C3D9-4EF1-ABB5-831C55730AED}"/>
    <hyperlink ref="E420" r:id="rId390" xr:uid="{ED325A1C-2FBE-499D-9FF2-D3277F93C1B8}"/>
    <hyperlink ref="E421" r:id="rId391" xr:uid="{E8F45360-6D15-476A-9008-1C5755011C7C}"/>
    <hyperlink ref="E422" r:id="rId392" xr:uid="{4C5472C5-C86B-40A7-9AFD-C059EBD613CE}"/>
    <hyperlink ref="E423" r:id="rId393" xr:uid="{4446C888-193D-4216-845A-99341A12325F}"/>
    <hyperlink ref="E424" r:id="rId394" xr:uid="{A48E2D84-7BB7-46EB-A21A-040FDE304687}"/>
    <hyperlink ref="E425" r:id="rId395" xr:uid="{2C0DA614-EAB4-40F7-8853-9FC674AF485C}"/>
    <hyperlink ref="E426" r:id="rId396" xr:uid="{24787ACB-D4D2-4E9F-BA2C-E5F3A068BB03}"/>
    <hyperlink ref="E428" r:id="rId397" xr:uid="{43B40BEC-706A-4C46-BF9C-8F313777E6C4}"/>
    <hyperlink ref="E429" r:id="rId398" xr:uid="{2C62740B-C598-4483-AF37-74E6FAEC9443}"/>
    <hyperlink ref="E430" r:id="rId399" xr:uid="{8AA0A014-33E4-4635-8A00-F8D72DB38CA2}"/>
    <hyperlink ref="E432" r:id="rId400" xr:uid="{D4F1334F-9F0D-4451-98A4-FEE597757457}"/>
    <hyperlink ref="E433" r:id="rId401" xr:uid="{03D95D55-7A30-4C6F-BF3C-B1870FD4E9F8}"/>
    <hyperlink ref="E434" r:id="rId402" xr:uid="{199B48A7-E83A-4CCC-8081-076C214E6CB8}"/>
    <hyperlink ref="E435" r:id="rId403" xr:uid="{DB258BC4-1DAC-4ACA-9D3D-A8F3BA24A02D}"/>
    <hyperlink ref="E436" r:id="rId404" xr:uid="{130AD8E9-86A3-4A43-B5C2-8C6B2DC762CA}"/>
    <hyperlink ref="E437" r:id="rId405" xr:uid="{96C1BC0C-FB35-478F-8347-E82EBF810533}"/>
    <hyperlink ref="E438" r:id="rId406" xr:uid="{6F259ACB-3D80-4E86-B82C-7B3148094D30}"/>
    <hyperlink ref="E439" r:id="rId407" xr:uid="{3517A519-C624-4F66-8D00-5C50D30C6F78}"/>
    <hyperlink ref="E440" r:id="rId408" xr:uid="{46E0363C-8071-4164-9A6E-319154CAABFB}"/>
    <hyperlink ref="E441" r:id="rId409" xr:uid="{9F34A5A1-DFE1-4ECF-8AA1-3E242454C62B}"/>
    <hyperlink ref="E442" r:id="rId410" xr:uid="{E2C015AC-A037-40FA-A0CE-74D8EEE877A4}"/>
    <hyperlink ref="E443" r:id="rId411" xr:uid="{A5828BD6-97BC-465A-A53B-7CF62685FB81}"/>
    <hyperlink ref="E444" r:id="rId412" xr:uid="{87354BB2-CBD8-4B30-A1DC-FFD7C2AFC367}"/>
    <hyperlink ref="E445" r:id="rId413" xr:uid="{12C44943-9E3E-41B0-AC23-2E3D8B037C3F}"/>
    <hyperlink ref="E446" r:id="rId414" xr:uid="{3E01C69D-90E2-413F-98A0-3B824C2AE4FD}"/>
    <hyperlink ref="E447" r:id="rId415" xr:uid="{5A220991-146C-4B54-B6C1-E9CDB9C8F1C7}"/>
    <hyperlink ref="E448" r:id="rId416" xr:uid="{5DAAF12E-27A5-4566-9891-E39AFCC93E68}"/>
    <hyperlink ref="E449" r:id="rId417" xr:uid="{82F3656D-598F-4B0C-A765-6583920A4B48}"/>
    <hyperlink ref="E450" r:id="rId418" xr:uid="{DD02BAE7-873D-4079-821D-211FDC043923}"/>
    <hyperlink ref="E451" r:id="rId419" xr:uid="{310B25B5-42BF-4F18-A334-D8D56304954C}"/>
    <hyperlink ref="E452" r:id="rId420" xr:uid="{C0CB1ABE-B8DD-4EBA-8758-0BCCF5BBBC5F}"/>
    <hyperlink ref="E453" r:id="rId421" xr:uid="{C533A3FA-B435-49C4-949E-46B582EF2821}"/>
    <hyperlink ref="E454" r:id="rId422" xr:uid="{8283822F-2DDA-45EF-84AA-24158E583BEB}"/>
    <hyperlink ref="E455" r:id="rId423" xr:uid="{677E2F67-1364-473D-8D03-82918F69525D}"/>
    <hyperlink ref="E456" r:id="rId424" xr:uid="{6CBC07A6-DC35-44E2-8B73-1CFBD46B4829}"/>
    <hyperlink ref="E457" r:id="rId425" xr:uid="{B5C072CC-417A-4959-B464-7553D74B4403}"/>
    <hyperlink ref="E458" r:id="rId426" xr:uid="{492C328D-0676-44CF-8E5C-4C009C7972AE}"/>
    <hyperlink ref="E459" r:id="rId427" xr:uid="{B8E1056F-80BB-4F9C-A022-43CE937A89F4}"/>
    <hyperlink ref="E460" r:id="rId428" xr:uid="{761A01C7-D172-49BA-910D-9D15F8A9A00F}"/>
    <hyperlink ref="E461" r:id="rId429" xr:uid="{71694F6E-AC93-4ACF-AE63-DF43DF110542}"/>
    <hyperlink ref="E462" r:id="rId430" xr:uid="{F87B7E3D-47E1-4CC1-A845-4C082D05ABD9}"/>
    <hyperlink ref="E463" r:id="rId431" xr:uid="{DF018D14-633E-488B-A710-BEBE8826A9C6}"/>
    <hyperlink ref="E464" r:id="rId432" xr:uid="{EB03DA64-966D-413E-A645-E63393C5F023}"/>
    <hyperlink ref="E465" r:id="rId433" xr:uid="{D05C143C-D673-4821-B612-CAD2EC9CB275}"/>
    <hyperlink ref="E466" r:id="rId434" xr:uid="{296B04DD-0B5D-45A9-95CD-306905312353}"/>
    <hyperlink ref="E467" r:id="rId435" xr:uid="{F7428689-048B-4B43-9CDF-02A8242488C5}"/>
    <hyperlink ref="E468" r:id="rId436" xr:uid="{2D884B70-6A83-44C0-8799-EAE4C1C5CEFB}"/>
    <hyperlink ref="E469" r:id="rId437" xr:uid="{F4325D2F-D8FB-4E70-B132-427FC950A79E}"/>
    <hyperlink ref="E470" r:id="rId438" xr:uid="{661889D6-2264-42CA-A821-663C1C998388}"/>
    <hyperlink ref="E471" r:id="rId439" xr:uid="{D3700F34-5B1D-411C-8E7A-DFFFC24D44D1}"/>
    <hyperlink ref="E472" r:id="rId440" xr:uid="{571F6985-CFDD-4223-BB73-5C22038F89DD}"/>
    <hyperlink ref="E473" r:id="rId441" xr:uid="{BD979C3B-6810-45AC-BC1E-A01464E4D834}"/>
    <hyperlink ref="E474" r:id="rId442" xr:uid="{F45E77A2-E818-439F-9B6F-D418A0F80C76}"/>
    <hyperlink ref="E475" r:id="rId443" xr:uid="{688FC1DA-5868-43AB-A42E-F64A5BEF96FD}"/>
    <hyperlink ref="E476" r:id="rId444" xr:uid="{BB49B603-64FA-47EB-BBDC-2615FBF61DDC}"/>
    <hyperlink ref="E477" r:id="rId445" xr:uid="{BF7513BA-86B8-40E4-9165-46F414A05B7B}"/>
    <hyperlink ref="E478" r:id="rId446" xr:uid="{5B86D6BF-B2AB-4FAF-BBDC-8F146E3850CE}"/>
    <hyperlink ref="E479" r:id="rId447" xr:uid="{2A588BD0-92A6-4BB4-AE6D-D6A0E8A4FD07}"/>
    <hyperlink ref="E480" r:id="rId448" xr:uid="{335277B7-25E9-4B39-97EA-522FE84FE439}"/>
    <hyperlink ref="E481" r:id="rId449" xr:uid="{02E7B635-74EE-4767-B30C-400E548EFC7C}"/>
    <hyperlink ref="E482" r:id="rId450" xr:uid="{A0589752-B7BF-4727-A36B-9BD0314FDBA0}"/>
    <hyperlink ref="E483" r:id="rId451" xr:uid="{614FE538-E41B-4CB6-8FE6-285DDECF65A4}"/>
    <hyperlink ref="E484" r:id="rId452" xr:uid="{DCF2A1FC-F1BB-45B3-BFB9-18764002A781}"/>
    <hyperlink ref="E485" r:id="rId453" xr:uid="{07030723-518E-469A-B839-C6EE81189148}"/>
    <hyperlink ref="E486" r:id="rId454" xr:uid="{D21D4EA4-1BB1-4F20-983F-E965B7C36CB0}"/>
    <hyperlink ref="E487" r:id="rId455" xr:uid="{2D22C644-5D6C-4CFD-8863-DA2FD07DF822}"/>
    <hyperlink ref="E488" r:id="rId456" xr:uid="{89A3F994-C7F6-4D2A-A781-ABD18EDB66EB}"/>
    <hyperlink ref="E490" r:id="rId457" xr:uid="{A22BE57E-CF9A-438C-8BBB-64258B013BEB}"/>
    <hyperlink ref="E491" r:id="rId458" xr:uid="{AF140E93-4241-449E-A87A-6D53722B58C2}"/>
    <hyperlink ref="E492" r:id="rId459" xr:uid="{7C6636C1-67EB-410B-B313-7F683013F8F8}"/>
    <hyperlink ref="E493" r:id="rId460" xr:uid="{E38DD349-0E3E-4FCC-B128-D05BD2D76F2F}"/>
    <hyperlink ref="E494" r:id="rId461" xr:uid="{42E83478-5384-4798-91F7-EE276DEFF1D1}"/>
    <hyperlink ref="E495" r:id="rId462" xr:uid="{176602FC-3C7E-43B8-961E-15497BB44B2D}"/>
    <hyperlink ref="E496" r:id="rId463" xr:uid="{7C8D3120-9C13-4ABC-8C60-1B0543BC17DD}"/>
    <hyperlink ref="E497" r:id="rId464" xr:uid="{B59F0A38-4290-4EA7-9D4E-3CC2EAA9353B}"/>
    <hyperlink ref="E498" r:id="rId465" xr:uid="{06313C25-DCDD-484F-B8C6-7F955131F935}"/>
    <hyperlink ref="E499" r:id="rId466" xr:uid="{0FF9539B-5D6C-47E3-B838-C2D6F86A4223}"/>
    <hyperlink ref="E500" r:id="rId467" xr:uid="{C568C701-C8DF-4307-ACE6-E67CE9AE616A}"/>
    <hyperlink ref="E501" r:id="rId468" xr:uid="{DA52C38F-8122-48C9-B268-ADFA061DDF26}"/>
    <hyperlink ref="E2" r:id="rId469" xr:uid="{75D753AE-ED60-4807-9D82-A1F9229F1B96}"/>
  </hyperlinks>
  <pageMargins left="0.7" right="0.7" top="0.75" bottom="0.75" header="0.3" footer="0.3"/>
  <tableParts count="3">
    <tablePart r:id="rId470"/>
    <tablePart r:id="rId471"/>
    <tablePart r:id="rId47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0D3D-1FB3-4AE8-B0EB-CB5E68B2CE5A}">
  <dimension ref="A1:G29"/>
  <sheetViews>
    <sheetView zoomScale="60" zoomScaleNormal="60" workbookViewId="0">
      <selection activeCell="M19" sqref="M19"/>
    </sheetView>
  </sheetViews>
  <sheetFormatPr defaultRowHeight="17" x14ac:dyDescent="0.4"/>
  <cols>
    <col min="1" max="1" width="16.26953125" style="11" bestFit="1" customWidth="1"/>
    <col min="2" max="5" width="15.6328125" style="11" bestFit="1" customWidth="1"/>
    <col min="6" max="6" width="24.90625" style="11" bestFit="1" customWidth="1"/>
    <col min="7" max="7" width="24.81640625" style="11" bestFit="1" customWidth="1"/>
    <col min="8" max="8" width="14" style="11" bestFit="1" customWidth="1"/>
    <col min="9" max="9" width="24.81640625" style="11" bestFit="1" customWidth="1"/>
    <col min="10" max="16384" width="8.7265625" style="11"/>
  </cols>
  <sheetData>
    <row r="1" spans="1:7" x14ac:dyDescent="0.4">
      <c r="A1" s="10"/>
      <c r="B1" s="10"/>
      <c r="C1" s="10"/>
      <c r="D1" s="10"/>
      <c r="E1" s="10"/>
      <c r="F1" s="10"/>
      <c r="G1" s="10"/>
    </row>
    <row r="2" spans="1:7" x14ac:dyDescent="0.4">
      <c r="A2" s="10"/>
      <c r="B2" s="10"/>
      <c r="C2" s="10"/>
      <c r="D2" s="10"/>
      <c r="E2" s="10"/>
      <c r="F2" s="10"/>
      <c r="G2" s="10"/>
    </row>
    <row r="3" spans="1:7" x14ac:dyDescent="0.4">
      <c r="A3" s="10" t="s">
        <v>1689</v>
      </c>
      <c r="B3" s="10" t="s">
        <v>1690</v>
      </c>
      <c r="C3" s="10" t="s">
        <v>1691</v>
      </c>
      <c r="D3" s="10"/>
      <c r="E3" s="10" t="s">
        <v>1689</v>
      </c>
      <c r="F3" s="10" t="s">
        <v>1690</v>
      </c>
      <c r="G3" s="10"/>
    </row>
    <row r="4" spans="1:7" x14ac:dyDescent="0.4">
      <c r="A4" s="12" t="s">
        <v>422</v>
      </c>
      <c r="B4" s="13">
        <v>1015242</v>
      </c>
      <c r="C4" s="10">
        <v>1676</v>
      </c>
      <c r="D4" s="10"/>
      <c r="E4" s="12" t="s">
        <v>28</v>
      </c>
      <c r="F4" s="13">
        <v>27310732</v>
      </c>
      <c r="G4" s="10"/>
    </row>
    <row r="5" spans="1:7" x14ac:dyDescent="0.4">
      <c r="A5" s="12" t="s">
        <v>591</v>
      </c>
      <c r="B5" s="13">
        <v>1116627</v>
      </c>
      <c r="C5" s="10">
        <v>2539</v>
      </c>
      <c r="D5" s="10"/>
      <c r="E5" s="12" t="s">
        <v>12</v>
      </c>
      <c r="F5" s="13">
        <v>22866797</v>
      </c>
      <c r="G5" s="10"/>
    </row>
    <row r="6" spans="1:7" x14ac:dyDescent="0.4">
      <c r="A6" s="12" t="s">
        <v>162</v>
      </c>
      <c r="B6" s="13">
        <v>1098373</v>
      </c>
      <c r="C6" s="10">
        <v>1702</v>
      </c>
      <c r="D6" s="10"/>
      <c r="E6" s="12" t="s">
        <v>20</v>
      </c>
      <c r="F6" s="13">
        <v>26262804</v>
      </c>
      <c r="G6" s="10"/>
    </row>
    <row r="7" spans="1:7" x14ac:dyDescent="0.4">
      <c r="A7" s="12" t="s">
        <v>467</v>
      </c>
      <c r="B7" s="13">
        <v>1394844</v>
      </c>
      <c r="C7" s="10">
        <v>3005</v>
      </c>
      <c r="D7" s="10"/>
      <c r="E7" s="12" t="s">
        <v>43</v>
      </c>
      <c r="F7" s="13">
        <v>23560642</v>
      </c>
      <c r="G7" s="10"/>
    </row>
    <row r="8" spans="1:7" x14ac:dyDescent="0.4">
      <c r="A8" s="12" t="s">
        <v>376</v>
      </c>
      <c r="B8" s="13">
        <v>1034510</v>
      </c>
      <c r="C8" s="10">
        <v>2075</v>
      </c>
      <c r="D8" s="10"/>
      <c r="E8" s="12" t="s">
        <v>1692</v>
      </c>
      <c r="F8" s="13">
        <v>100000975</v>
      </c>
      <c r="G8" s="10"/>
    </row>
    <row r="9" spans="1:7" x14ac:dyDescent="0.4">
      <c r="A9" s="12" t="s">
        <v>143</v>
      </c>
      <c r="B9" s="13">
        <v>1045280</v>
      </c>
      <c r="C9" s="10">
        <v>1691</v>
      </c>
      <c r="D9" s="10"/>
      <c r="E9" s="10"/>
      <c r="F9" s="10"/>
      <c r="G9" s="10"/>
    </row>
    <row r="10" spans="1:7" x14ac:dyDescent="0.4">
      <c r="A10" s="12" t="s">
        <v>212</v>
      </c>
      <c r="B10" s="13">
        <v>1154499</v>
      </c>
      <c r="C10" s="10">
        <v>2496</v>
      </c>
      <c r="D10" s="10"/>
      <c r="E10" s="10"/>
      <c r="F10" s="10"/>
      <c r="G10" s="10"/>
    </row>
    <row r="11" spans="1:7" x14ac:dyDescent="0.4">
      <c r="A11" s="12" t="s">
        <v>193</v>
      </c>
      <c r="B11" s="13">
        <v>1422917</v>
      </c>
      <c r="C11" s="10">
        <v>2474</v>
      </c>
      <c r="D11" s="10"/>
      <c r="E11" s="10" t="s">
        <v>1689</v>
      </c>
      <c r="F11" s="10" t="s">
        <v>1690</v>
      </c>
      <c r="G11" s="10"/>
    </row>
    <row r="12" spans="1:7" x14ac:dyDescent="0.4">
      <c r="A12" s="12" t="s">
        <v>86</v>
      </c>
      <c r="B12" s="13">
        <v>1042468</v>
      </c>
      <c r="C12" s="10">
        <v>2099</v>
      </c>
      <c r="D12" s="10"/>
      <c r="E12" s="12" t="s">
        <v>32</v>
      </c>
      <c r="F12" s="13">
        <v>14534516</v>
      </c>
      <c r="G12" s="10"/>
    </row>
    <row r="13" spans="1:7" x14ac:dyDescent="0.4">
      <c r="A13" s="12" t="s">
        <v>386</v>
      </c>
      <c r="B13" s="13">
        <v>1496720</v>
      </c>
      <c r="C13" s="10">
        <v>2500</v>
      </c>
      <c r="D13" s="10"/>
      <c r="E13" s="12" t="s">
        <v>16</v>
      </c>
      <c r="F13" s="13">
        <v>15601847</v>
      </c>
      <c r="G13" s="10"/>
    </row>
    <row r="14" spans="1:7" x14ac:dyDescent="0.4">
      <c r="A14" s="12" t="s">
        <v>1692</v>
      </c>
      <c r="B14" s="13">
        <v>11821480</v>
      </c>
      <c r="C14" s="10">
        <v>22257</v>
      </c>
      <c r="D14" s="10"/>
      <c r="E14" s="12" t="s">
        <v>111</v>
      </c>
      <c r="F14" s="13">
        <v>12894629</v>
      </c>
      <c r="G14" s="10"/>
    </row>
    <row r="15" spans="1:7" x14ac:dyDescent="0.4">
      <c r="A15" s="10"/>
      <c r="B15" s="10"/>
      <c r="C15" s="10"/>
      <c r="D15" s="10"/>
      <c r="E15" s="12" t="s">
        <v>55</v>
      </c>
      <c r="F15" s="13">
        <v>12552038</v>
      </c>
      <c r="G15" s="10"/>
    </row>
    <row r="16" spans="1:7" x14ac:dyDescent="0.4">
      <c r="A16" s="10"/>
      <c r="B16" s="10"/>
      <c r="C16" s="10"/>
      <c r="D16" s="10"/>
      <c r="E16" s="12" t="s">
        <v>11</v>
      </c>
      <c r="F16" s="13">
        <v>15826419</v>
      </c>
      <c r="G16" s="10"/>
    </row>
    <row r="17" spans="1:7" x14ac:dyDescent="0.4">
      <c r="A17" s="10"/>
      <c r="B17" s="10"/>
      <c r="C17" s="10"/>
      <c r="D17" s="10"/>
      <c r="E17" s="12" t="s">
        <v>39</v>
      </c>
      <c r="F17" s="13">
        <v>16285176</v>
      </c>
      <c r="G17" s="10"/>
    </row>
    <row r="18" spans="1:7" x14ac:dyDescent="0.4">
      <c r="A18" s="10" t="s">
        <v>1690</v>
      </c>
      <c r="B18" s="10"/>
      <c r="C18" s="10"/>
      <c r="D18" s="10"/>
      <c r="E18" s="12" t="s">
        <v>27</v>
      </c>
      <c r="F18" s="13">
        <v>12306350</v>
      </c>
      <c r="G18" s="10"/>
    </row>
    <row r="19" spans="1:7" x14ac:dyDescent="0.4">
      <c r="A19" s="13">
        <v>100000975</v>
      </c>
      <c r="B19" s="10"/>
      <c r="C19" s="10"/>
      <c r="D19" s="10"/>
      <c r="E19" s="12" t="s">
        <v>1692</v>
      </c>
      <c r="F19" s="13">
        <v>100000975</v>
      </c>
      <c r="G19" s="10"/>
    </row>
    <row r="20" spans="1:7" x14ac:dyDescent="0.4">
      <c r="A20" s="10"/>
      <c r="B20" s="10"/>
      <c r="C20" s="10"/>
      <c r="D20" s="10"/>
      <c r="E20" s="10"/>
      <c r="F20" s="10"/>
      <c r="G20" s="10"/>
    </row>
    <row r="21" spans="1:7" x14ac:dyDescent="0.4">
      <c r="A21" s="10"/>
      <c r="B21" s="10"/>
      <c r="C21" s="10"/>
      <c r="D21" s="10"/>
      <c r="E21" s="10"/>
      <c r="F21" s="10"/>
      <c r="G21" s="10"/>
    </row>
    <row r="22" spans="1:7" x14ac:dyDescent="0.4">
      <c r="A22" s="10"/>
      <c r="B22" s="10"/>
      <c r="C22" s="10"/>
      <c r="D22" s="10"/>
      <c r="E22" s="10"/>
      <c r="F22" s="10"/>
      <c r="G22" s="10"/>
    </row>
    <row r="23" spans="1:7" x14ac:dyDescent="0.4">
      <c r="A23" s="10" t="s">
        <v>1689</v>
      </c>
      <c r="B23" s="10" t="s">
        <v>1693</v>
      </c>
      <c r="C23" s="10" t="s">
        <v>1694</v>
      </c>
      <c r="D23" s="10" t="s">
        <v>1695</v>
      </c>
      <c r="E23" s="10" t="s">
        <v>1696</v>
      </c>
      <c r="F23" s="10"/>
      <c r="G23" s="10"/>
    </row>
    <row r="24" spans="1:7" x14ac:dyDescent="0.4">
      <c r="A24" s="12" t="s">
        <v>28</v>
      </c>
      <c r="B24" s="13">
        <v>6933354</v>
      </c>
      <c r="C24" s="13">
        <v>6988925</v>
      </c>
      <c r="D24" s="13">
        <v>6899096</v>
      </c>
      <c r="E24" s="13">
        <v>6489357</v>
      </c>
      <c r="F24" s="10"/>
      <c r="G24" s="10"/>
    </row>
    <row r="25" spans="1:7" x14ac:dyDescent="0.4">
      <c r="A25" s="12" t="s">
        <v>12</v>
      </c>
      <c r="B25" s="13">
        <v>5715617</v>
      </c>
      <c r="C25" s="13">
        <v>5544172</v>
      </c>
      <c r="D25" s="13">
        <v>5840619</v>
      </c>
      <c r="E25" s="13">
        <v>5766389</v>
      </c>
      <c r="F25" s="10"/>
      <c r="G25" s="10"/>
    </row>
    <row r="26" spans="1:7" x14ac:dyDescent="0.4">
      <c r="A26" s="12" t="s">
        <v>20</v>
      </c>
      <c r="B26" s="13">
        <v>6631549</v>
      </c>
      <c r="C26" s="13">
        <v>6662722</v>
      </c>
      <c r="D26" s="13">
        <v>6667678</v>
      </c>
      <c r="E26" s="13">
        <v>6300855</v>
      </c>
      <c r="F26" s="10"/>
      <c r="G26" s="10"/>
    </row>
    <row r="27" spans="1:7" x14ac:dyDescent="0.4">
      <c r="A27" s="12" t="s">
        <v>43</v>
      </c>
      <c r="B27" s="13">
        <v>5964871</v>
      </c>
      <c r="C27" s="13">
        <v>5964047</v>
      </c>
      <c r="D27" s="13">
        <v>5626885</v>
      </c>
      <c r="E27" s="13">
        <v>6004839</v>
      </c>
      <c r="F27" s="10"/>
      <c r="G27" s="10"/>
    </row>
    <row r="28" spans="1:7" x14ac:dyDescent="0.4">
      <c r="A28" s="12" t="s">
        <v>1692</v>
      </c>
      <c r="B28" s="13">
        <v>25245391</v>
      </c>
      <c r="C28" s="13">
        <v>25159866</v>
      </c>
      <c r="D28" s="13">
        <v>25034278</v>
      </c>
      <c r="E28" s="13">
        <v>24561440</v>
      </c>
      <c r="F28" s="10"/>
      <c r="G28" s="10"/>
    </row>
    <row r="29" spans="1:7" x14ac:dyDescent="0.4">
      <c r="A29" s="10"/>
      <c r="B29" s="10"/>
      <c r="C29" s="10"/>
      <c r="D29" s="10"/>
      <c r="E29" s="10"/>
      <c r="F29" s="10"/>
      <c r="G29"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CF524-88C6-4C52-B3A8-F25F6753AF0A}">
  <dimension ref="A1"/>
  <sheetViews>
    <sheetView showGridLines="0" showRowColHeaders="0" topLeftCell="D1" zoomScale="70" zoomScaleNormal="70" workbookViewId="0">
      <selection activeCell="AE28" sqref="AE28"/>
    </sheetView>
  </sheetViews>
  <sheetFormatPr defaultColWidth="8.7265625" defaultRowHeight="14.5" x14ac:dyDescent="0.35"/>
  <cols>
    <col min="1" max="16384" width="8.7265625" style="5"/>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Raw Sales Data From Source</vt:lpstr>
      <vt:lpstr>CLEANED DATA</vt:lpstr>
      <vt:lpstr>PIVOT TABLES</vt:lpstr>
      <vt:lpstr>DASHBOARD</vt:lpstr>
      <vt:lpstr>Name</vt:lpstr>
      <vt:lpstr>salesreview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Ujunwa NNAEKEZIE</cp:lastModifiedBy>
  <cp:revision/>
  <dcterms:created xsi:type="dcterms:W3CDTF">2025-10-01T15:01:27Z</dcterms:created>
  <dcterms:modified xsi:type="dcterms:W3CDTF">2026-08-04T03:15:54Z</dcterms:modified>
  <cp:category/>
  <cp:contentStatus/>
</cp:coreProperties>
</file>